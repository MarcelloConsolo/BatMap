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99" firstSheet="0" activeTab="0" autoFilterDateGrouping="1"/>
  </bookViews>
  <sheets>
    <sheet name="Dati2025" sheetId="1" state="visible" r:id="rId1"/>
    <sheet name="CRAS 2025 Grafico" sheetId="2" state="visible" r:id="rId2"/>
  </sheets>
  <definedNames>
    <definedName name="ora">#REF!</definedName>
    <definedName name="_xlnm._FilterDatabase" localSheetId="0" hidden="1">'Dati2025'!$A$1:$N$229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rgb="FF000000"/>
      <sz val="11"/>
    </font>
    <font>
      <name val="Calibri"/>
      <family val="2"/>
      <color rgb="FF006100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b val="1"/>
      <color rgb="FF006100"/>
      <sz val="11"/>
      <scheme val="minor"/>
    </font>
    <font>
      <name val="Calibri"/>
      <family val="2"/>
      <b val="1"/>
      <sz val="12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"/>
      <family val="2"/>
      <color rgb="FF00000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2" fillId="0" borderId="0"/>
    <xf numFmtId="0" fontId="1" fillId="2" borderId="0"/>
    <xf numFmtId="0" fontId="2" fillId="3" borderId="0"/>
  </cellStyleXfs>
  <cellXfs count="40">
    <xf numFmtId="0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0" fontId="5" fillId="2" borderId="0" pivotButton="0" quotePrefix="0" xfId="1"/>
    <xf numFmtId="0" fontId="5" fillId="2" borderId="0" applyAlignment="1" pivotButton="0" quotePrefix="0" xfId="1">
      <alignment horizontal="center"/>
    </xf>
    <xf numFmtId="0" fontId="6" fillId="5" borderId="1" applyAlignment="1" pivotButton="0" quotePrefix="0" xfId="0">
      <alignment horizontal="center" vertical="center"/>
    </xf>
    <xf numFmtId="14" fontId="0" fillId="4" borderId="1" applyAlignment="1" pivotButton="0" quotePrefix="0" xfId="0">
      <alignment horizontal="left"/>
    </xf>
    <xf numFmtId="0" fontId="0" fillId="4" borderId="1" applyAlignment="1" pivotButton="0" quotePrefix="0" xfId="0">
      <alignment horizontal="left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/>
    </xf>
    <xf numFmtId="14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14" fontId="3" fillId="5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/>
    </xf>
    <xf numFmtId="20" fontId="0" fillId="4" borderId="1" applyAlignment="1" pivotButton="0" quotePrefix="0" xfId="0">
      <alignment horizontal="center" vertical="center"/>
    </xf>
    <xf numFmtId="20" fontId="0" fillId="0" borderId="1" applyAlignment="1" pivotButton="0" quotePrefix="0" xfId="0">
      <alignment horizontal="center"/>
    </xf>
    <xf numFmtId="0" fontId="11" fillId="0" borderId="0" pivotButton="0" quotePrefix="0" xfId="0"/>
    <xf numFmtId="0" fontId="11" fillId="0" borderId="1" applyAlignment="1" pivotButton="0" quotePrefix="0" xfId="0">
      <alignment horizontal="left"/>
    </xf>
    <xf numFmtId="0" fontId="11" fillId="0" borderId="1" applyAlignment="1" pivotButton="0" quotePrefix="0" xfId="0">
      <alignment horizontal="center"/>
    </xf>
    <xf numFmtId="0" fontId="11" fillId="0" borderId="1" pivotButton="0" quotePrefix="0" xfId="0"/>
    <xf numFmtId="0" fontId="11" fillId="0" borderId="2" applyAlignment="1" pivotButton="0" quotePrefix="0" xfId="0">
      <alignment horizontal="left"/>
    </xf>
    <xf numFmtId="0" fontId="11" fillId="0" borderId="2" applyAlignment="1" pivotButton="0" quotePrefix="0" xfId="0">
      <alignment horizontal="center"/>
    </xf>
    <xf numFmtId="0" fontId="11" fillId="0" borderId="2" pivotButton="0" quotePrefix="0" xfId="0"/>
    <xf numFmtId="14" fontId="11" fillId="0" borderId="1" applyAlignment="1" pivotButton="0" quotePrefix="0" xfId="0">
      <alignment horizontal="left" vertical="center" wrapText="1"/>
    </xf>
    <xf numFmtId="20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center"/>
    </xf>
    <xf numFmtId="14" fontId="11" fillId="0" borderId="1" applyAlignment="1" pivotButton="0" quotePrefix="0" xfId="0">
      <alignment horizontal="left"/>
    </xf>
    <xf numFmtId="20" fontId="11" fillId="0" borderId="1" applyAlignment="1" pivotButton="0" quotePrefix="0" xfId="0">
      <alignment horizontal="center"/>
    </xf>
  </cellXfs>
  <cellStyles count="3">
    <cellStyle name="Normale" xfId="0" builtinId="0"/>
    <cellStyle name="Valore valido" xfId="1" builtinId="26"/>
    <cellStyle name="cf1" xfId="2"/>
  </cellStyles>
  <dxfs count="1">
    <dxf>
      <fill>
        <patternFill patternType="solid">
          <fgColor rgb="FFFF00FF"/>
          <bgColor rgb="FFFF00FF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Esemplari/anno 2025</a:t>
            </a:r>
          </a:p>
          <a:p>
            <a:pPr>
              <a:defRPr/>
            </a:pPr>
            <a:r>
              <a:t>None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it-IT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8412676330653"/>
          <y val="0.2429388466387247"/>
          <w val="0.8231746473386939"/>
          <h val="0.518896116666733"/>
        </manualLayout>
      </layout>
      <doughnutChart>
        <varyColors val="1"/>
        <ser>
          <idx val="0"/>
          <order val="0"/>
          <tx>
            <strRef>
              <f>'CRAS 2025 Grafico'!$A$2</f>
              <strCache>
                <ptCount val="1"/>
                <pt idx="0">
                  <v>Numero esemplari/anno</v>
                </pt>
              </strCache>
            </strRef>
          </tx>
          <spPr>
            <a:solidFill>
              <a:srgbClr val="00B050"/>
            </a:solidFill>
            <a:ln w="12700">
              <a:solidFill>
                <a:schemeClr val="tx1"/>
              </a:solidFill>
              <a:prstDash val="solid"/>
            </a:ln>
          </spPr>
          <dPt>
            <idx val="0"/>
            <bubble3D val="0"/>
            <spPr>
              <a:solidFill>
                <a:schemeClr val="bg2"/>
              </a:solidFill>
              <a:ln w="12700">
                <a:solidFill>
                  <a:schemeClr val="tx1"/>
                </a:solidFill>
                <a:prstDash val="solid"/>
              </a:ln>
            </spPr>
          </dPt>
          <dPt>
            <idx val="1"/>
            <bubble3D val="0"/>
            <spPr>
              <a:solidFill>
                <a:srgbClr val="00B050"/>
              </a:solidFill>
              <a:ln w="12700">
                <a:solidFill>
                  <a:schemeClr val="tx1"/>
                </a:solidFill>
                <a:prstDash val="solid"/>
              </a:ln>
            </spPr>
          </dPt>
          <dPt>
            <idx val="2"/>
            <bubble3D val="0"/>
            <spPr>
              <a:solidFill>
                <a:srgbClr val="FF0000"/>
              </a:solidFill>
              <a:ln w="12700">
                <a:solidFill>
                  <a:schemeClr val="tx1"/>
                </a:solidFill>
                <a:prstDash val="solid"/>
              </a:ln>
            </spPr>
          </dPt>
          <dPt>
            <idx val="3"/>
            <bubble3D val="0"/>
            <spPr>
              <a:solidFill>
                <a:srgbClr val="FF0000"/>
              </a:solidFill>
              <a:ln w="12700">
                <a:solidFill>
                  <a:schemeClr val="tx1"/>
                </a:solidFill>
                <a:prstDash val="solid"/>
              </a:ln>
            </spPr>
          </dPt>
          <dLbls>
            <dLbl>
              <idx val="0"/>
              <showLegendKey val="1"/>
              <showVal val="1"/>
              <showCatName val="1"/>
              <showSerName val="0"/>
              <showPercent val="1"/>
              <showBubbleSize val="0"/>
            </dLbl>
            <dLbl>
              <idx val="1"/>
              <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Off val="75000"/>
                      <a:lumMod val="25000"/>
                    </a:sysClr>
                  </a:solidFill>
                  <a:prstDash val="solid"/>
                  <a:round/>
                  <a:headEnd w="med" len="med"/>
                  <a:tailEnd w="med" len="med"/>
                </a:ln>
              </spPr>
              <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it-IT"/>
                </a:p>
              </txPr>
              <showLegendKey val="1"/>
              <showVal val="1"/>
              <showCatName val="1"/>
              <showSerName val="0"/>
              <showPercent val="1"/>
              <showBubbleSize val="0"/>
            </dLbl>
            <dLbl>
              <idx val="2"/>
              <showLegendKey val="1"/>
              <showVal val="1"/>
              <showCatName val="1"/>
              <showSerName val="0"/>
              <showPercent val="1"/>
              <showBubbleSize val="0"/>
            </dLbl>
            <dLbl>
              <idx val="3"/>
              <showLegendKey val="1"/>
              <showVal val="1"/>
              <showCatName val="1"/>
              <showSerName val="0"/>
              <showPercent val="1"/>
              <showBubbleSize val="0"/>
            </dLbl>
            <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it-IT"/>
              </a:p>
            </txPr>
            <showLegendKey val="1"/>
            <showVal val="1"/>
            <showCatName val="1"/>
            <showSerName val="0"/>
            <showPercent val="1"/>
            <showBubbleSize val="0"/>
            <showLeaderLines val="0"/>
          </dLbls>
          <cat>
            <strRef>
              <f>'CRAS 2025 Grafico'!$A$3:$A$5</f>
              <strCache>
                <ptCount val="3"/>
                <pt idx="0">
                  <v>in degenza</v>
                </pt>
                <pt idx="1">
                  <v>liberato</v>
                </pt>
                <pt idx="2">
                  <v>morto</v>
                </pt>
              </strCache>
            </strRef>
          </cat>
          <val>
            <numRef>
              <f>'CRAS 2025 Grafico'!$B$3:$B$5</f>
              <numCache>
                <formatCode>General</formatCode>
                <ptCount val="3"/>
                <pt idx="0">
                  <v>6</v>
                </pt>
                <pt idx="1">
                  <v>165</v>
                </pt>
                <pt idx="2">
                  <v>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it-IT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Marcello</author>
  </authors>
  <commentList>
    <comment ref="M2" authorId="0" shapeId="0">
      <text>
        <t>Marcello:
Marcello</t>
      </text>
    </comment>
    <comment ref="M3" authorId="0" shapeId="0">
      <text>
        <t>Marcello:
Marcello</t>
      </text>
    </comment>
    <comment ref="M5" authorId="0" shapeId="0">
      <text>
        <t>Marcello:
Cristina</t>
      </text>
    </comment>
    <comment ref="M7" authorId="0" shapeId="0">
      <text>
        <t>Marcello:
Marcello</t>
      </text>
    </comment>
    <comment ref="M8" authorId="0" shapeId="0">
      <text>
        <t>Marcello:
Claudia</t>
      </text>
    </comment>
    <comment ref="M16" authorId="0" shapeId="0">
      <text>
        <t>Marcello:
Jessica</t>
      </text>
    </comment>
    <comment ref="M18" authorId="0" shapeId="0">
      <text>
        <t>Marcello:
Rigolon</t>
      </text>
    </comment>
    <comment ref="M30" authorId="0" shapeId="0">
      <text>
        <t>Marcello:
CRAS di Messina</t>
      </text>
    </comment>
    <comment ref="M43" authorId="0" shapeId="0">
      <text>
        <t>Marcello:
CRAS Valpredina</t>
      </text>
    </comment>
    <comment ref="M196" authorId="0" shapeId="0">
      <text>
        <t>Marcello:
Sara LIPU Bologna</t>
      </text>
    </comment>
    <comment ref="M197" authorId="0" shapeId="0">
      <text>
        <t>Marcello:
Sara LIPU Bologna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371475</colOff>
      <row>7</row>
      <rowOff>0</rowOff>
    </from>
    <to>
      <col>15</col>
      <colOff>276225</colOff>
      <row>30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9"/>
  <sheetViews>
    <sheetView tabSelected="1" workbookViewId="0">
      <selection activeCell="I2" sqref="I1:I1048576"/>
    </sheetView>
  </sheetViews>
  <sheetFormatPr baseColWidth="8" defaultRowHeight="15"/>
  <cols>
    <col width="23.140625" customWidth="1" style="14" min="1" max="1"/>
    <col width="9.140625" customWidth="1" style="17" min="2" max="2"/>
    <col width="28.42578125" customWidth="1" style="13" min="3" max="3"/>
    <col width="6.85546875" customWidth="1" style="17" min="4" max="4"/>
    <col width="21.85546875" customWidth="1" style="13" min="5" max="9"/>
    <col width="12.85546875" customWidth="1" style="13" min="10" max="10"/>
    <col width="12" customWidth="1" style="32" min="11" max="11"/>
    <col width="83.85546875" customWidth="1" style="13" min="12" max="12"/>
    <col width="15.140625" customWidth="1" style="13" min="13" max="13"/>
    <col width="11.85546875" customWidth="1" style="13" min="14" max="14"/>
  </cols>
  <sheetData>
    <row r="1" ht="42.75" customHeight="1">
      <c r="A1" s="15" t="inlineStr">
        <is>
          <t>data segnalazione</t>
        </is>
      </c>
      <c r="B1" s="7" t="inlineStr">
        <is>
          <t>ora</t>
        </is>
      </c>
      <c r="C1" s="7" t="inlineStr">
        <is>
          <t>specie animale</t>
        </is>
      </c>
      <c r="D1" s="7" t="inlineStr">
        <is>
          <t>sesso</t>
        </is>
      </c>
      <c r="E1" s="7" t="inlineStr">
        <is>
          <t>località</t>
        </is>
      </c>
      <c r="F1" s="7" t="inlineStr">
        <is>
          <t>comune</t>
        </is>
      </c>
      <c r="G1" s="7" t="inlineStr">
        <is>
          <t>provincia</t>
        </is>
      </c>
      <c r="H1" s="7" t="inlineStr">
        <is>
          <t>latitudine</t>
        </is>
      </c>
      <c r="I1" s="7" t="inlineStr">
        <is>
          <t>longitudine</t>
        </is>
      </c>
      <c r="J1" s="7" t="inlineStr">
        <is>
          <t>età</t>
        </is>
      </c>
      <c r="K1" s="16" t="inlineStr">
        <is>
          <t>numero esemplari</t>
        </is>
      </c>
      <c r="L1" s="7" t="inlineStr">
        <is>
          <t>condizioni al recupero</t>
        </is>
      </c>
      <c r="M1" s="7" t="inlineStr">
        <is>
          <t>stato</t>
        </is>
      </c>
      <c r="N1" s="16" t="inlineStr">
        <is>
          <t>recuperato dalla madre</t>
        </is>
      </c>
    </row>
    <row r="2">
      <c r="A2" s="8" t="n">
        <v>45659</v>
      </c>
      <c r="B2" s="19" t="n">
        <v>0.4236111111111111</v>
      </c>
      <c r="C2" s="9" t="inlineStr">
        <is>
          <t>Nyctalus leisleri</t>
        </is>
      </c>
      <c r="D2" s="11" t="inlineStr">
        <is>
          <t>F</t>
        </is>
      </c>
      <c r="E2" s="10" t="inlineStr">
        <is>
          <t>Recoaro mille</t>
        </is>
      </c>
      <c r="F2" s="9" t="inlineStr">
        <is>
          <t>Recoaro mille</t>
        </is>
      </c>
      <c r="G2" s="9" t="inlineStr">
        <is>
          <t>VI</t>
        </is>
      </c>
      <c r="H2" s="9" t="n"/>
      <c r="I2" s="9" t="n"/>
      <c r="J2" s="9" t="inlineStr">
        <is>
          <t>adulto</t>
        </is>
      </c>
      <c r="K2" s="18" t="n">
        <v>1</v>
      </c>
      <c r="L2" s="9" t="inlineStr">
        <is>
          <t>Trovato nella casa di montagna,chiusa da giorni, debilitata, molto magra</t>
        </is>
      </c>
      <c r="M2" s="9" t="inlineStr">
        <is>
          <t>liberato</t>
        </is>
      </c>
      <c r="N2" s="11" t="n"/>
    </row>
    <row r="3">
      <c r="A3" s="8" t="n">
        <v>45660</v>
      </c>
      <c r="B3" s="18" t="inlineStr">
        <is>
          <t>16:15</t>
        </is>
      </c>
      <c r="C3" s="9" t="inlineStr">
        <is>
          <t>Pipistrellus kuhlii</t>
        </is>
      </c>
      <c r="D3" s="11" t="inlineStr">
        <is>
          <t>M</t>
        </is>
      </c>
      <c r="E3" s="10" t="inlineStr">
        <is>
          <t>Via Palestro</t>
        </is>
      </c>
      <c r="F3" s="9" t="inlineStr">
        <is>
          <t>Thiene</t>
        </is>
      </c>
      <c r="G3" s="9" t="inlineStr">
        <is>
          <t>VI</t>
        </is>
      </c>
      <c r="H3" s="9" t="n"/>
      <c r="I3" s="9" t="n"/>
      <c r="J3" s="9" t="inlineStr">
        <is>
          <t>adulto</t>
        </is>
      </c>
      <c r="K3" s="18" t="n">
        <v>1</v>
      </c>
      <c r="L3" s="9" t="inlineStr">
        <is>
          <t>In terra supino, molto magro, anziano e con patagio strappato in via di guarigione</t>
        </is>
      </c>
      <c r="M3" s="9" t="inlineStr">
        <is>
          <t>liberato</t>
        </is>
      </c>
      <c r="N3" s="11" t="n"/>
    </row>
    <row r="4">
      <c r="A4" s="28" t="n">
        <v>45663</v>
      </c>
      <c r="B4" s="29" t="n">
        <v>0.7513888888888889</v>
      </c>
      <c r="C4" s="30" t="inlineStr">
        <is>
          <t>Myotis emarginatus</t>
        </is>
      </c>
      <c r="D4" s="31" t="n"/>
      <c r="E4" s="30" t="inlineStr">
        <is>
          <t>Bassano del Grappa</t>
        </is>
      </c>
      <c r="F4" s="30" t="inlineStr">
        <is>
          <t>Bassano del Grappa</t>
        </is>
      </c>
      <c r="G4" s="30" t="inlineStr">
        <is>
          <t>VI</t>
        </is>
      </c>
      <c r="H4" s="30" t="n"/>
      <c r="I4" s="30" t="n"/>
      <c r="J4" s="30" t="inlineStr">
        <is>
          <t>adulto</t>
        </is>
      </c>
      <c r="K4" s="31" t="n">
        <v>1</v>
      </c>
      <c r="L4" s="30" t="inlineStr">
        <is>
          <t>Appeso nell'androne di casa, monitorato</t>
        </is>
      </c>
      <c r="M4" s="30" t="inlineStr">
        <is>
          <t>liberato</t>
        </is>
      </c>
      <c r="N4" s="28" t="n"/>
    </row>
    <row r="5">
      <c r="A5" s="8" t="n">
        <v>45671</v>
      </c>
      <c r="B5" s="18" t="inlineStr">
        <is>
          <t>18:46</t>
        </is>
      </c>
      <c r="C5" s="9" t="inlineStr">
        <is>
          <t>Pipistrellus sp.</t>
        </is>
      </c>
      <c r="D5" s="11" t="n"/>
      <c r="E5" s="10" t="inlineStr">
        <is>
          <t xml:space="preserve">Santorso </t>
        </is>
      </c>
      <c r="F5" s="9" t="inlineStr">
        <is>
          <t>Vicenza</t>
        </is>
      </c>
      <c r="G5" s="9" t="inlineStr">
        <is>
          <t>VI</t>
        </is>
      </c>
      <c r="H5" s="9" t="n"/>
      <c r="I5" s="9" t="n"/>
      <c r="J5" s="9" t="inlineStr">
        <is>
          <t>adulto</t>
        </is>
      </c>
      <c r="K5" s="18" t="n">
        <v>1</v>
      </c>
      <c r="L5" s="9" t="inlineStr">
        <is>
          <t xml:space="preserve">debilitato </t>
        </is>
      </c>
      <c r="M5" s="9" t="inlineStr">
        <is>
          <t>liberato</t>
        </is>
      </c>
      <c r="N5" s="11" t="n"/>
    </row>
    <row r="6">
      <c r="A6" s="28" t="n">
        <v>45671</v>
      </c>
      <c r="B6" s="29" t="n">
        <v>0.7819444444444444</v>
      </c>
      <c r="C6" s="30" t="inlineStr">
        <is>
          <t>Pipistrellus sp.</t>
        </is>
      </c>
      <c r="D6" s="31" t="n"/>
      <c r="E6" s="30" t="inlineStr">
        <is>
          <t xml:space="preserve">Santorso </t>
        </is>
      </c>
      <c r="F6" s="30" t="inlineStr">
        <is>
          <t>Vicenza</t>
        </is>
      </c>
      <c r="G6" s="30" t="inlineStr">
        <is>
          <t>VI</t>
        </is>
      </c>
      <c r="H6" s="30" t="n"/>
      <c r="I6" s="30" t="n"/>
      <c r="J6" s="30" t="inlineStr">
        <is>
          <t>adulto</t>
        </is>
      </c>
      <c r="K6" s="31" t="n">
        <v>1</v>
      </c>
      <c r="L6" s="30" t="inlineStr">
        <is>
          <t xml:space="preserve">debilitato </t>
        </is>
      </c>
      <c r="M6" s="30" t="inlineStr">
        <is>
          <t>liberato</t>
        </is>
      </c>
      <c r="N6" s="28" t="n"/>
    </row>
    <row r="7">
      <c r="A7" s="8" t="n">
        <v>45675</v>
      </c>
      <c r="B7" s="18" t="inlineStr">
        <is>
          <t>13:00</t>
        </is>
      </c>
      <c r="C7" s="9" t="inlineStr">
        <is>
          <t>Pipistrellus kuhlii</t>
        </is>
      </c>
      <c r="D7" s="11" t="inlineStr">
        <is>
          <t>M</t>
        </is>
      </c>
      <c r="E7" s="10" t="inlineStr">
        <is>
          <t>Costabissara</t>
        </is>
      </c>
      <c r="F7" s="9" t="inlineStr">
        <is>
          <t>Vicenza</t>
        </is>
      </c>
      <c r="G7" s="9" t="inlineStr">
        <is>
          <t>VI</t>
        </is>
      </c>
      <c r="H7" s="9" t="n"/>
      <c r="I7" s="9" t="n"/>
      <c r="J7" s="9" t="inlineStr">
        <is>
          <t>adulto</t>
        </is>
      </c>
      <c r="K7" s="18" t="n">
        <v>1</v>
      </c>
      <c r="L7" s="9" t="inlineStr">
        <is>
          <t>Trovato a terra, debilitato</t>
        </is>
      </c>
      <c r="M7" s="9" t="inlineStr">
        <is>
          <t>liberato</t>
        </is>
      </c>
      <c r="N7" s="11" t="n"/>
    </row>
    <row r="8">
      <c r="A8" s="8" t="n">
        <v>45675</v>
      </c>
      <c r="B8" s="18" t="inlineStr">
        <is>
          <t>18:00</t>
        </is>
      </c>
      <c r="C8" s="9" t="inlineStr">
        <is>
          <t>Pipistrellus sp.</t>
        </is>
      </c>
      <c r="D8" s="11" t="n"/>
      <c r="E8" s="10" t="inlineStr">
        <is>
          <t>Caltrano</t>
        </is>
      </c>
      <c r="F8" s="9" t="inlineStr">
        <is>
          <t>Vicenza</t>
        </is>
      </c>
      <c r="G8" s="9" t="inlineStr">
        <is>
          <t>VI</t>
        </is>
      </c>
      <c r="H8" s="9" t="n"/>
      <c r="I8" s="9" t="n"/>
      <c r="J8" s="9" t="inlineStr">
        <is>
          <t>adulto</t>
        </is>
      </c>
      <c r="K8" s="18" t="n">
        <v>1</v>
      </c>
      <c r="L8" s="9" t="inlineStr">
        <is>
          <t xml:space="preserve">Caduto durante lavori </t>
        </is>
      </c>
      <c r="M8" s="9" t="inlineStr">
        <is>
          <t>in degenza</t>
        </is>
      </c>
      <c r="N8" s="11" t="n"/>
    </row>
    <row r="9">
      <c r="A9" s="28" t="n">
        <v>45675</v>
      </c>
      <c r="B9" s="29" t="n">
        <v>0.5416666666666666</v>
      </c>
      <c r="C9" s="30" t="inlineStr">
        <is>
          <t>Pipistrellus pipistrellus</t>
        </is>
      </c>
      <c r="D9" s="31" t="inlineStr">
        <is>
          <t>M</t>
        </is>
      </c>
      <c r="E9" s="30" t="inlineStr">
        <is>
          <t>Costabissara</t>
        </is>
      </c>
      <c r="F9" s="30" t="inlineStr">
        <is>
          <t>Vicenza</t>
        </is>
      </c>
      <c r="G9" s="30" t="inlineStr">
        <is>
          <t>VI</t>
        </is>
      </c>
      <c r="H9" s="30" t="n"/>
      <c r="I9" s="30" t="n"/>
      <c r="J9" s="30" t="inlineStr">
        <is>
          <t>adulto</t>
        </is>
      </c>
      <c r="K9" s="31" t="n">
        <v>1</v>
      </c>
      <c r="L9" s="30" t="inlineStr">
        <is>
          <t>Trovato a terra, debilitato</t>
        </is>
      </c>
      <c r="M9" s="30" t="inlineStr">
        <is>
          <t>liberato</t>
        </is>
      </c>
      <c r="N9" s="28" t="n"/>
    </row>
    <row r="10">
      <c r="A10" s="28" t="n">
        <v>45675</v>
      </c>
      <c r="B10" s="29" t="n">
        <v>0.6986111111111111</v>
      </c>
      <c r="C10" s="30" t="inlineStr">
        <is>
          <t>Pipistrellus sp.</t>
        </is>
      </c>
      <c r="D10" s="31" t="n"/>
      <c r="E10" s="30" t="inlineStr">
        <is>
          <t>Centro Venezia</t>
        </is>
      </c>
      <c r="F10" s="30" t="inlineStr">
        <is>
          <t>Venezia</t>
        </is>
      </c>
      <c r="G10" s="30" t="inlineStr">
        <is>
          <t>VE</t>
        </is>
      </c>
      <c r="H10" s="30" t="n"/>
      <c r="I10" s="30" t="n"/>
      <c r="J10" s="30" t="inlineStr">
        <is>
          <t>adulto</t>
        </is>
      </c>
      <c r="K10" s="31" t="n">
        <v>1</v>
      </c>
      <c r="L10" s="30" t="inlineStr">
        <is>
          <t>Trovato a terra, debilitato</t>
        </is>
      </c>
      <c r="M10" s="30" t="inlineStr">
        <is>
          <t>liberato</t>
        </is>
      </c>
      <c r="N10" s="28" t="n"/>
    </row>
    <row r="11">
      <c r="A11" s="28" t="n">
        <v>45675</v>
      </c>
      <c r="B11" s="29" t="n">
        <v>0.75</v>
      </c>
      <c r="C11" s="30" t="inlineStr">
        <is>
          <t>Pipistrellus sp.</t>
        </is>
      </c>
      <c r="D11" s="31" t="n"/>
      <c r="E11" s="30" t="inlineStr">
        <is>
          <t>Caltrano</t>
        </is>
      </c>
      <c r="F11" s="30" t="inlineStr">
        <is>
          <t>Vicenza</t>
        </is>
      </c>
      <c r="G11" s="30" t="inlineStr">
        <is>
          <t>VI</t>
        </is>
      </c>
      <c r="H11" s="30" t="n"/>
      <c r="I11" s="30" t="n"/>
      <c r="J11" s="30" t="inlineStr">
        <is>
          <t>adulto</t>
        </is>
      </c>
      <c r="K11" s="31" t="n">
        <v>1</v>
      </c>
      <c r="L11" s="30" t="inlineStr">
        <is>
          <t xml:space="preserve">Caduto durante lavori </t>
        </is>
      </c>
      <c r="M11" s="30" t="inlineStr">
        <is>
          <t>liberato</t>
        </is>
      </c>
      <c r="N11" s="30" t="n"/>
    </row>
    <row r="12" customFormat="1" s="21">
      <c r="A12" s="28" t="n">
        <v>45678</v>
      </c>
      <c r="B12" s="29" t="n">
        <v>0.625</v>
      </c>
      <c r="C12" s="30" t="inlineStr">
        <is>
          <t>Pipistrellus kuhlii</t>
        </is>
      </c>
      <c r="D12" s="31" t="n"/>
      <c r="E12" s="30" t="inlineStr">
        <is>
          <t>Modena</t>
        </is>
      </c>
      <c r="F12" s="30" t="inlineStr">
        <is>
          <t>Modena</t>
        </is>
      </c>
      <c r="G12" s="30" t="inlineStr">
        <is>
          <t>MO</t>
        </is>
      </c>
      <c r="H12" s="30" t="n"/>
      <c r="I12" s="30" t="n"/>
      <c r="J12" s="30" t="inlineStr">
        <is>
          <t>adulto</t>
        </is>
      </c>
      <c r="K12" s="31" t="n">
        <v>1</v>
      </c>
      <c r="L12" s="30" t="inlineStr">
        <is>
          <t>Trovato a terra ferito, predato da gatto</t>
        </is>
      </c>
      <c r="M12" s="30" t="inlineStr">
        <is>
          <t>morto</t>
        </is>
      </c>
      <c r="N12" s="28" t="n"/>
    </row>
    <row r="13" customFormat="1" s="21">
      <c r="A13" s="28" t="n">
        <v>45687</v>
      </c>
      <c r="B13" s="29" t="n">
        <v>0.4090277777777778</v>
      </c>
      <c r="C13" s="30" t="inlineStr">
        <is>
          <t>Pipistrellus sp.</t>
        </is>
      </c>
      <c r="D13" s="31" t="n"/>
      <c r="E13" s="30" t="inlineStr">
        <is>
          <t xml:space="preserve">Montecchio maggiore </t>
        </is>
      </c>
      <c r="F13" s="30" t="inlineStr">
        <is>
          <t>Montecchio Maggiore</t>
        </is>
      </c>
      <c r="G13" s="30" t="inlineStr">
        <is>
          <t>VI</t>
        </is>
      </c>
      <c r="H13" s="30" t="n"/>
      <c r="I13" s="30" t="n"/>
      <c r="J13" s="30" t="inlineStr">
        <is>
          <t>adulto</t>
        </is>
      </c>
      <c r="K13" s="31" t="n">
        <v>1</v>
      </c>
      <c r="L13" s="30" t="inlineStr">
        <is>
          <t>Trovato a terra</t>
        </is>
      </c>
      <c r="M13" s="30" t="inlineStr">
        <is>
          <t>liberato</t>
        </is>
      </c>
      <c r="N13" s="28" t="n"/>
    </row>
    <row r="14" customFormat="1" s="21">
      <c r="A14" s="8" t="n">
        <v>45698</v>
      </c>
      <c r="B14" s="18" t="inlineStr">
        <is>
          <t>08:13</t>
        </is>
      </c>
      <c r="C14" s="9" t="inlineStr">
        <is>
          <t>Pipistrellus sp.</t>
        </is>
      </c>
      <c r="D14" s="11" t="n"/>
      <c r="E14" s="10" t="inlineStr">
        <is>
          <t>Bassano</t>
        </is>
      </c>
      <c r="F14" s="9" t="inlineStr">
        <is>
          <t>Bassano</t>
        </is>
      </c>
      <c r="G14" s="9" t="inlineStr">
        <is>
          <t>VI</t>
        </is>
      </c>
      <c r="H14" s="9" t="n"/>
      <c r="I14" s="9" t="n"/>
      <c r="J14" s="9" t="inlineStr">
        <is>
          <t>adulto</t>
        </is>
      </c>
      <c r="K14" s="18" t="n">
        <v>1</v>
      </c>
      <c r="L14" s="9" t="inlineStr">
        <is>
          <t>Trovato nella casa di montagna,in terra,chiuso probabilmente dall'autunno, le guardie forestali di Schio lo hanno fatto mettere in giardino in pieno giorno.</t>
        </is>
      </c>
      <c r="M14" s="9" t="inlineStr">
        <is>
          <t>n/a</t>
        </is>
      </c>
      <c r="N14" s="11" t="n"/>
    </row>
    <row r="15" customFormat="1" s="21">
      <c r="A15" s="28" t="n">
        <v>45701</v>
      </c>
      <c r="B15" s="29" t="n">
        <v>0.8604166666666667</v>
      </c>
      <c r="C15" s="30" t="inlineStr">
        <is>
          <t>Pipistrellus sp.</t>
        </is>
      </c>
      <c r="D15" s="31" t="n"/>
      <c r="E15" s="30" t="inlineStr">
        <is>
          <t>Padova</t>
        </is>
      </c>
      <c r="F15" s="30" t="inlineStr">
        <is>
          <t>Padova</t>
        </is>
      </c>
      <c r="G15" s="30" t="inlineStr">
        <is>
          <t>PD</t>
        </is>
      </c>
      <c r="H15" s="30" t="n"/>
      <c r="I15" s="30" t="n"/>
      <c r="J15" s="30" t="inlineStr">
        <is>
          <t>adulto</t>
        </is>
      </c>
      <c r="K15" s="31" t="n">
        <v>1</v>
      </c>
      <c r="L15" s="30" t="inlineStr">
        <is>
          <t>Trovato a terra, probabilmente è stato disturbato</t>
        </is>
      </c>
      <c r="M15" s="30" t="inlineStr">
        <is>
          <t>liberato</t>
        </is>
      </c>
      <c r="N15" s="30" t="n"/>
    </row>
    <row r="16" customFormat="1" s="21">
      <c r="A16" s="12" t="n">
        <v>45704</v>
      </c>
      <c r="B16" s="20" t="n">
        <v>0.8305555555555556</v>
      </c>
      <c r="C16" s="9" t="inlineStr">
        <is>
          <t>Pipistrellus kuhlii</t>
        </is>
      </c>
      <c r="D16" s="17" t="inlineStr">
        <is>
          <t>M</t>
        </is>
      </c>
      <c r="E16" s="10" t="inlineStr">
        <is>
          <t>Schio</t>
        </is>
      </c>
      <c r="F16" s="9" t="inlineStr">
        <is>
          <t>Schio</t>
        </is>
      </c>
      <c r="G16" s="9" t="inlineStr">
        <is>
          <t>VI</t>
        </is>
      </c>
      <c r="H16" s="9" t="n"/>
      <c r="I16" s="9" t="n"/>
      <c r="J16" s="9" t="inlineStr">
        <is>
          <t>adulto</t>
        </is>
      </c>
      <c r="K16" s="18" t="n">
        <v>1</v>
      </c>
      <c r="L16" s="9" t="inlineStr">
        <is>
          <t>Trovato dentro una cassetta di legna</t>
        </is>
      </c>
      <c r="M16" s="9" t="inlineStr">
        <is>
          <t>liberato</t>
        </is>
      </c>
      <c r="N16" s="13" t="n"/>
    </row>
    <row r="17" customFormat="1" s="21">
      <c r="A17" s="12" t="n">
        <v>45709</v>
      </c>
      <c r="B17" s="20" t="n">
        <v>0.7215277777777778</v>
      </c>
      <c r="C17" s="13" t="inlineStr">
        <is>
          <t>Pipistrellus sp.</t>
        </is>
      </c>
      <c r="D17" s="17" t="n"/>
      <c r="E17" s="13" t="inlineStr">
        <is>
          <t>Montecchio maggiore</t>
        </is>
      </c>
      <c r="F17" s="13" t="inlineStr">
        <is>
          <t>Montecchio maggiore</t>
        </is>
      </c>
      <c r="G17" s="13" t="inlineStr">
        <is>
          <t>VI</t>
        </is>
      </c>
      <c r="H17" s="13" t="n"/>
      <c r="I17" s="13" t="n"/>
      <c r="J17" s="13" t="inlineStr">
        <is>
          <t>adulto</t>
        </is>
      </c>
      <c r="K17" s="32" t="n">
        <v>1</v>
      </c>
      <c r="L17" s="13" t="inlineStr">
        <is>
          <t>Trovato in terra, molto magro</t>
        </is>
      </c>
      <c r="M17" s="13" t="inlineStr">
        <is>
          <t>morto</t>
        </is>
      </c>
      <c r="N17" s="13" t="n"/>
    </row>
    <row r="18" customFormat="1" s="21">
      <c r="A18" s="12" t="n">
        <v>45710</v>
      </c>
      <c r="B18" s="20" t="n">
        <v>0.5631944444444444</v>
      </c>
      <c r="C18" s="13" t="inlineStr">
        <is>
          <t>Pipistrellus sp.</t>
        </is>
      </c>
      <c r="D18" s="17" t="n"/>
      <c r="E18" s="13" t="inlineStr">
        <is>
          <t>Arzignano</t>
        </is>
      </c>
      <c r="F18" s="13" t="inlineStr">
        <is>
          <t>Arzignano</t>
        </is>
      </c>
      <c r="G18" s="13" t="inlineStr">
        <is>
          <t>VI</t>
        </is>
      </c>
      <c r="H18" s="13" t="n"/>
      <c r="I18" s="13" t="n"/>
      <c r="J18" s="13" t="inlineStr">
        <is>
          <t>adulto</t>
        </is>
      </c>
      <c r="K18" s="32" t="n">
        <v>1</v>
      </c>
      <c r="L18" s="13" t="inlineStr">
        <is>
          <t>Trovato a terra, debilitato</t>
        </is>
      </c>
      <c r="M18" s="13" t="inlineStr">
        <is>
          <t>liberato</t>
        </is>
      </c>
      <c r="N18" s="13" t="n"/>
    </row>
    <row r="19" customFormat="1" s="21">
      <c r="A19" s="28" t="n">
        <v>45710</v>
      </c>
      <c r="B19" s="29" t="n">
        <v>0.5631944444444444</v>
      </c>
      <c r="C19" s="30" t="inlineStr">
        <is>
          <t>Pipistrellus sp.</t>
        </is>
      </c>
      <c r="D19" s="31" t="n"/>
      <c r="E19" s="30" t="inlineStr">
        <is>
          <t>Arzignano</t>
        </is>
      </c>
      <c r="F19" s="30" t="inlineStr">
        <is>
          <t>Arzignano</t>
        </is>
      </c>
      <c r="G19" s="30" t="inlineStr">
        <is>
          <t>VI</t>
        </is>
      </c>
      <c r="H19" s="30" t="n"/>
      <c r="I19" s="30" t="n"/>
      <c r="J19" s="30" t="inlineStr">
        <is>
          <t>adulto</t>
        </is>
      </c>
      <c r="K19" s="31" t="n">
        <v>1</v>
      </c>
      <c r="L19" s="30" t="inlineStr">
        <is>
          <t>Trovato a terra, debilitato</t>
        </is>
      </c>
      <c r="M19" s="30" t="inlineStr">
        <is>
          <t>liberato</t>
        </is>
      </c>
      <c r="N19" s="28" t="n"/>
    </row>
    <row r="20" customFormat="1" s="21">
      <c r="A20" s="12" t="n">
        <v>45716</v>
      </c>
      <c r="B20" s="20" t="n">
        <v>0.7604166666666666</v>
      </c>
      <c r="C20" s="13" t="inlineStr">
        <is>
          <t>Pipistrellus sp.</t>
        </is>
      </c>
      <c r="D20" s="17" t="n"/>
      <c r="E20" s="13" t="inlineStr">
        <is>
          <t>Longare</t>
        </is>
      </c>
      <c r="F20" s="13" t="inlineStr">
        <is>
          <t>Longare</t>
        </is>
      </c>
      <c r="G20" s="13" t="inlineStr">
        <is>
          <t>VI</t>
        </is>
      </c>
      <c r="H20" s="13" t="n"/>
      <c r="I20" s="13" t="n"/>
      <c r="J20" s="13" t="inlineStr">
        <is>
          <t>adulto</t>
        </is>
      </c>
      <c r="K20" s="32" t="n">
        <v>1</v>
      </c>
      <c r="L20" s="13" t="inlineStr">
        <is>
          <t>Caduto durante lavori sul tetto</t>
        </is>
      </c>
      <c r="M20" s="13" t="inlineStr">
        <is>
          <t>liberato</t>
        </is>
      </c>
      <c r="N20" s="13" t="n"/>
    </row>
    <row r="21" customFormat="1" s="21">
      <c r="A21" s="28" t="n">
        <v>45716</v>
      </c>
      <c r="B21" s="29" t="n">
        <v>0.7604166666666666</v>
      </c>
      <c r="C21" s="30" t="inlineStr">
        <is>
          <t>Pipistrellus sp.</t>
        </is>
      </c>
      <c r="D21" s="31" t="n"/>
      <c r="E21" s="30" t="inlineStr">
        <is>
          <t>Longare</t>
        </is>
      </c>
      <c r="F21" s="30" t="inlineStr">
        <is>
          <t>Longare</t>
        </is>
      </c>
      <c r="G21" s="30" t="inlineStr">
        <is>
          <t>VI</t>
        </is>
      </c>
      <c r="H21" s="30" t="n"/>
      <c r="I21" s="30" t="n"/>
      <c r="J21" s="30" t="inlineStr">
        <is>
          <t>adulto</t>
        </is>
      </c>
      <c r="K21" s="31" t="n">
        <v>1</v>
      </c>
      <c r="L21" s="30" t="inlineStr">
        <is>
          <t>Caduto durante i lavori sul tetto</t>
        </is>
      </c>
      <c r="M21" s="30" t="inlineStr">
        <is>
          <t>liberato</t>
        </is>
      </c>
      <c r="N21" s="30" t="n"/>
    </row>
    <row r="22" ht="30" customFormat="1" customHeight="1" s="21">
      <c r="A22" s="28" t="n">
        <v>45716</v>
      </c>
      <c r="B22" s="29" t="n">
        <v>0.9090277777777778</v>
      </c>
      <c r="C22" s="30" t="inlineStr">
        <is>
          <t>Pipistrellus sp.</t>
        </is>
      </c>
      <c r="D22" s="31" t="n"/>
      <c r="E22" s="30" t="inlineStr">
        <is>
          <t>Duomo di Montecchio maggiore</t>
        </is>
      </c>
      <c r="F22" s="30" t="inlineStr">
        <is>
          <t>Montecchio maggiore</t>
        </is>
      </c>
      <c r="G22" s="30" t="inlineStr">
        <is>
          <t>VI</t>
        </is>
      </c>
      <c r="H22" s="30" t="n"/>
      <c r="I22" s="30" t="n"/>
      <c r="J22" s="30" t="inlineStr">
        <is>
          <t>adulto</t>
        </is>
      </c>
      <c r="K22" s="31" t="n">
        <v>1</v>
      </c>
      <c r="L22" s="30" t="inlineStr">
        <is>
          <t>Segnalato pipistrello dentro la chiesa</t>
        </is>
      </c>
      <c r="M22" s="30" t="inlineStr">
        <is>
          <t>n/a</t>
        </is>
      </c>
      <c r="N22" s="30" t="n"/>
    </row>
    <row r="23" customFormat="1" s="21">
      <c r="A23" s="28" t="n">
        <v>45721</v>
      </c>
      <c r="B23" s="29" t="n">
        <v>0.6798611111111111</v>
      </c>
      <c r="C23" s="30" t="inlineStr">
        <is>
          <t>Vespertilio murinus</t>
        </is>
      </c>
      <c r="D23" s="31" t="inlineStr">
        <is>
          <t>M</t>
        </is>
      </c>
      <c r="E23" s="30" t="inlineStr">
        <is>
          <t xml:space="preserve">Castegnero </t>
        </is>
      </c>
      <c r="F23" s="30" t="inlineStr">
        <is>
          <t>Vicenza</t>
        </is>
      </c>
      <c r="G23" s="30" t="inlineStr">
        <is>
          <t>VI</t>
        </is>
      </c>
      <c r="H23" s="30" t="n"/>
      <c r="I23" s="30" t="n"/>
      <c r="J23" s="30" t="inlineStr">
        <is>
          <t>adulto</t>
        </is>
      </c>
      <c r="K23" s="31" t="n">
        <v>1</v>
      </c>
      <c r="L23" s="30" t="inlineStr">
        <is>
          <t>Dentro il camino da giorni, magrissimo e intossicato</t>
        </is>
      </c>
      <c r="M23" s="30" t="inlineStr">
        <is>
          <t>morto</t>
        </is>
      </c>
      <c r="N23" s="28" t="n"/>
    </row>
    <row r="24" customFormat="1" s="21">
      <c r="A24" s="28" t="n">
        <v>45721</v>
      </c>
      <c r="B24" s="29" t="n">
        <v>0.8680555555555556</v>
      </c>
      <c r="C24" s="30" t="inlineStr">
        <is>
          <t>Pipistrellus sp.</t>
        </is>
      </c>
      <c r="D24" s="31" t="n"/>
      <c r="E24" s="30" t="inlineStr">
        <is>
          <t>Padova</t>
        </is>
      </c>
      <c r="F24" s="30" t="inlineStr">
        <is>
          <t>Padova</t>
        </is>
      </c>
      <c r="G24" s="30" t="inlineStr">
        <is>
          <t>PD</t>
        </is>
      </c>
      <c r="H24" s="30" t="n"/>
      <c r="I24" s="30" t="n"/>
      <c r="J24" s="30" t="inlineStr">
        <is>
          <t>adulto</t>
        </is>
      </c>
      <c r="K24" s="31" t="n">
        <v>1</v>
      </c>
      <c r="L24" s="30" t="inlineStr">
        <is>
          <t>Predato da gatti, morto poco dopo</t>
        </is>
      </c>
      <c r="M24" s="30" t="inlineStr">
        <is>
          <t>morto</t>
        </is>
      </c>
      <c r="N24" s="28" t="n"/>
    </row>
    <row r="25" customFormat="1" s="21">
      <c r="A25" s="28" t="n">
        <v>45755</v>
      </c>
      <c r="B25" s="29" t="n">
        <v>0.5868055555555556</v>
      </c>
      <c r="C25" s="30" t="inlineStr">
        <is>
          <t>Myotis sp.</t>
        </is>
      </c>
      <c r="D25" s="31" t="inlineStr">
        <is>
          <t>M</t>
        </is>
      </c>
      <c r="E25" s="30" t="inlineStr">
        <is>
          <t>Thiene</t>
        </is>
      </c>
      <c r="F25" s="30" t="inlineStr">
        <is>
          <t>Thiene</t>
        </is>
      </c>
      <c r="G25" s="30" t="inlineStr">
        <is>
          <t>VI</t>
        </is>
      </c>
      <c r="H25" s="30" t="n"/>
      <c r="I25" s="30" t="n"/>
      <c r="J25" s="30" t="inlineStr">
        <is>
          <t>adulto</t>
        </is>
      </c>
      <c r="K25" s="31" t="n">
        <v>1</v>
      </c>
      <c r="L25" s="30" t="inlineStr">
        <is>
          <t>Arrivato morto, magrissimo e disidratato</t>
        </is>
      </c>
      <c r="M25" s="30" t="inlineStr">
        <is>
          <t>morto</t>
        </is>
      </c>
      <c r="N25" s="30" t="n"/>
    </row>
    <row r="26" customFormat="1" s="21">
      <c r="A26" s="28" t="n">
        <v>45758</v>
      </c>
      <c r="B26" s="29" t="n">
        <v>0.6736111111111112</v>
      </c>
      <c r="C26" s="30" t="inlineStr">
        <is>
          <t>Pipistrellus sp.</t>
        </is>
      </c>
      <c r="D26" s="31" t="inlineStr">
        <is>
          <t>F</t>
        </is>
      </c>
      <c r="E26" s="30" t="inlineStr">
        <is>
          <t>Isola Vicentina</t>
        </is>
      </c>
      <c r="F26" s="30" t="inlineStr">
        <is>
          <t>Isola Vicentina</t>
        </is>
      </c>
      <c r="G26" s="30" t="inlineStr">
        <is>
          <t>VI</t>
        </is>
      </c>
      <c r="H26" s="30" t="n"/>
      <c r="I26" s="30" t="n"/>
      <c r="J26" s="30" t="inlineStr">
        <is>
          <t>adulto</t>
        </is>
      </c>
      <c r="K26" s="31" t="n">
        <v>1</v>
      </c>
      <c r="L26" s="30" t="inlineStr">
        <is>
          <t>all'interno di un camion dei trasporti circolante solo in italia</t>
        </is>
      </c>
      <c r="M26" s="30" t="inlineStr">
        <is>
          <t>liberato</t>
        </is>
      </c>
      <c r="N26" s="28" t="n"/>
    </row>
    <row r="27" customFormat="1" s="21">
      <c r="A27" s="28" t="n">
        <v>45768</v>
      </c>
      <c r="B27" s="29" t="n">
        <v>0.9548611111111112</v>
      </c>
      <c r="C27" s="30" t="inlineStr">
        <is>
          <t>Pipistrellus kuhlii</t>
        </is>
      </c>
      <c r="D27" s="31" t="inlineStr">
        <is>
          <t>M</t>
        </is>
      </c>
      <c r="E27" s="30" t="inlineStr">
        <is>
          <t>Padova</t>
        </is>
      </c>
      <c r="F27" s="30" t="inlineStr">
        <is>
          <t>Padova</t>
        </is>
      </c>
      <c r="G27" s="30" t="inlineStr">
        <is>
          <t>PD</t>
        </is>
      </c>
      <c r="H27" s="30" t="n"/>
      <c r="I27" s="30" t="n"/>
      <c r="J27" s="30" t="inlineStr">
        <is>
          <t>adulto</t>
        </is>
      </c>
      <c r="K27" s="31" t="n">
        <v>1</v>
      </c>
      <c r="L27" s="30" t="inlineStr">
        <is>
          <t>Probabile trauma da schiacciamento, sangue nelle urine</t>
        </is>
      </c>
      <c r="M27" s="30" t="inlineStr">
        <is>
          <t>morto</t>
        </is>
      </c>
      <c r="N27" s="28" t="n"/>
    </row>
    <row r="28" customFormat="1" s="21">
      <c r="A28" s="28" t="n">
        <v>45770</v>
      </c>
      <c r="B28" s="29" t="n">
        <v>0.6715277777777777</v>
      </c>
      <c r="C28" s="30" t="inlineStr">
        <is>
          <t>Pipistrellus sp.</t>
        </is>
      </c>
      <c r="D28" s="31" t="n"/>
      <c r="E28" s="30" t="inlineStr">
        <is>
          <t>Scandolara</t>
        </is>
      </c>
      <c r="F28" s="30" t="inlineStr">
        <is>
          <t>Treviso</t>
        </is>
      </c>
      <c r="G28" s="30" t="inlineStr">
        <is>
          <t>TV</t>
        </is>
      </c>
      <c r="H28" s="30" t="n"/>
      <c r="I28" s="30" t="n"/>
      <c r="J28" s="30" t="inlineStr">
        <is>
          <t>adulto</t>
        </is>
      </c>
      <c r="K28" s="31" t="n">
        <v>1</v>
      </c>
      <c r="L28" s="30" t="inlineStr">
        <is>
          <t xml:space="preserve">Predazione da gatto </t>
        </is>
      </c>
      <c r="M28" s="30" t="inlineStr">
        <is>
          <t>morto</t>
        </is>
      </c>
      <c r="N28" s="28" t="n"/>
    </row>
    <row r="29" customFormat="1" s="21">
      <c r="A29" s="28" t="n">
        <v>45770</v>
      </c>
      <c r="B29" s="29" t="n">
        <v>0.9034722222222222</v>
      </c>
      <c r="C29" s="30" t="inlineStr">
        <is>
          <t>Pipistrellus sp.</t>
        </is>
      </c>
      <c r="D29" s="31" t="n"/>
      <c r="E29" s="30" t="inlineStr">
        <is>
          <t>Lido</t>
        </is>
      </c>
      <c r="F29" s="30" t="inlineStr">
        <is>
          <t>Venezia</t>
        </is>
      </c>
      <c r="G29" s="30" t="inlineStr">
        <is>
          <t>VE</t>
        </is>
      </c>
      <c r="H29" s="30" t="n"/>
      <c r="I29" s="30" t="n"/>
      <c r="J29" s="30" t="inlineStr">
        <is>
          <t>adulto</t>
        </is>
      </c>
      <c r="K29" s="31" t="n">
        <v>1</v>
      </c>
      <c r="L29" s="30" t="inlineStr">
        <is>
          <t>Predato da gatto, morto poco dopo</t>
        </is>
      </c>
      <c r="M29" s="30" t="inlineStr">
        <is>
          <t>morto</t>
        </is>
      </c>
      <c r="N29" s="28" t="n"/>
    </row>
    <row r="30" customFormat="1" s="21">
      <c r="A30" s="28" t="n">
        <v>45776</v>
      </c>
      <c r="B30" s="29" t="n">
        <v>0.6215277777777778</v>
      </c>
      <c r="C30" s="30" t="inlineStr">
        <is>
          <t>Pipistrellus sp.</t>
        </is>
      </c>
      <c r="D30" s="31" t="n"/>
      <c r="E30" s="30" t="inlineStr">
        <is>
          <t>Modica</t>
        </is>
      </c>
      <c r="F30" s="30" t="inlineStr">
        <is>
          <t>Ragusa</t>
        </is>
      </c>
      <c r="G30" s="30" t="inlineStr">
        <is>
          <t>RG</t>
        </is>
      </c>
      <c r="H30" s="30" t="n"/>
      <c r="I30" s="30" t="n"/>
      <c r="J30" s="30" t="inlineStr">
        <is>
          <t>adulto</t>
        </is>
      </c>
      <c r="K30" s="31" t="n">
        <v>1</v>
      </c>
      <c r="L30" s="30" t="inlineStr">
        <is>
          <t>Predato da gatto</t>
        </is>
      </c>
      <c r="M30" s="30" t="inlineStr">
        <is>
          <t>in degenza</t>
        </is>
      </c>
      <c r="N30" s="30" t="n"/>
    </row>
    <row r="31" customFormat="1" s="21">
      <c r="A31" s="28" t="n">
        <v>45779</v>
      </c>
      <c r="B31" s="29" t="n">
        <v>0.7868055555555555</v>
      </c>
      <c r="C31" s="30" t="inlineStr">
        <is>
          <t>Vespertilio Murinus</t>
        </is>
      </c>
      <c r="D31" s="31" t="inlineStr">
        <is>
          <t>M</t>
        </is>
      </c>
      <c r="E31" s="30" t="inlineStr">
        <is>
          <t>Creazzo</t>
        </is>
      </c>
      <c r="F31" s="30" t="inlineStr">
        <is>
          <t>Vicenza</t>
        </is>
      </c>
      <c r="G31" s="30" t="inlineStr">
        <is>
          <t>VI</t>
        </is>
      </c>
      <c r="H31" s="30" t="n"/>
      <c r="I31" s="30" t="n"/>
      <c r="J31" s="30" t="inlineStr">
        <is>
          <t>adulto</t>
        </is>
      </c>
      <c r="K31" s="31" t="n">
        <v>1</v>
      </c>
      <c r="L31" s="30" t="inlineStr">
        <is>
          <t>Sbattuto contro un vetro</t>
        </is>
      </c>
      <c r="M31" s="30" t="inlineStr">
        <is>
          <t>liberato</t>
        </is>
      </c>
      <c r="N31" s="28" t="n"/>
    </row>
    <row r="32" customFormat="1" s="21">
      <c r="A32" s="28" t="n">
        <v>45779</v>
      </c>
      <c r="B32" s="29" t="n">
        <v>0.9048611111111111</v>
      </c>
      <c r="C32" s="30" t="inlineStr">
        <is>
          <t>Rhinolophus hipposideros</t>
        </is>
      </c>
      <c r="D32" s="31" t="inlineStr">
        <is>
          <t>M</t>
        </is>
      </c>
      <c r="E32" s="30" t="inlineStr">
        <is>
          <t>Valsugana</t>
        </is>
      </c>
      <c r="F32" s="30" t="inlineStr">
        <is>
          <t>Trento</t>
        </is>
      </c>
      <c r="G32" s="30" t="inlineStr">
        <is>
          <t>TN</t>
        </is>
      </c>
      <c r="H32" s="30" t="n"/>
      <c r="I32" s="30" t="n"/>
      <c r="J32" s="30" t="inlineStr">
        <is>
          <t>adulto</t>
        </is>
      </c>
      <c r="K32" s="31" t="n">
        <v>1</v>
      </c>
      <c r="L32" s="30" t="inlineStr">
        <is>
          <t>Frattura avambraccio, predato</t>
        </is>
      </c>
      <c r="M32" s="30" t="inlineStr">
        <is>
          <t>morto</t>
        </is>
      </c>
      <c r="N32" s="28" t="n"/>
    </row>
    <row r="33" customFormat="1" s="21">
      <c r="A33" s="28" t="n">
        <v>45780</v>
      </c>
      <c r="B33" s="29" t="n">
        <v>0.6375</v>
      </c>
      <c r="C33" s="30" t="inlineStr">
        <is>
          <t>Vespertilio murinus</t>
        </is>
      </c>
      <c r="D33" s="31" t="n"/>
      <c r="E33" s="30" t="inlineStr">
        <is>
          <t>Creazzo</t>
        </is>
      </c>
      <c r="F33" s="30" t="inlineStr">
        <is>
          <t>Creazzo</t>
        </is>
      </c>
      <c r="G33" s="30" t="inlineStr">
        <is>
          <t>VI</t>
        </is>
      </c>
      <c r="H33" s="30" t="n"/>
      <c r="I33" s="30" t="n"/>
      <c r="J33" s="30" t="inlineStr">
        <is>
          <t>adulto</t>
        </is>
      </c>
      <c r="K33" s="31" t="n">
        <v>1</v>
      </c>
      <c r="L33" s="30" t="inlineStr">
        <is>
          <t>Rilasciato</t>
        </is>
      </c>
      <c r="M33" s="30" t="inlineStr">
        <is>
          <t>liberato</t>
        </is>
      </c>
      <c r="N33" s="28" t="n"/>
    </row>
    <row r="34" customFormat="1" s="21">
      <c r="A34" s="28" t="n">
        <v>45786</v>
      </c>
      <c r="B34" s="29" t="n">
        <v>0.6041666666666666</v>
      </c>
      <c r="C34" s="30" t="inlineStr">
        <is>
          <t>Hypsugo savii</t>
        </is>
      </c>
      <c r="D34" s="31" t="n"/>
      <c r="E34" s="30" t="inlineStr">
        <is>
          <t>Terrassa Padovana</t>
        </is>
      </c>
      <c r="F34" s="30" t="inlineStr">
        <is>
          <t>Padova</t>
        </is>
      </c>
      <c r="G34" s="30" t="inlineStr">
        <is>
          <t>PD</t>
        </is>
      </c>
      <c r="H34" s="30" t="n"/>
      <c r="I34" s="30" t="n"/>
      <c r="J34" s="30" t="inlineStr">
        <is>
          <t>adulto</t>
        </is>
      </c>
      <c r="K34" s="31" t="n">
        <v>1</v>
      </c>
      <c r="L34" s="30" t="inlineStr">
        <is>
          <t>Gravemente debilitato</t>
        </is>
      </c>
      <c r="M34" s="30" t="inlineStr">
        <is>
          <t>liberato</t>
        </is>
      </c>
      <c r="N34" s="28" t="n"/>
    </row>
    <row r="35" customFormat="1" s="21">
      <c r="A35" s="28" t="n">
        <v>45807</v>
      </c>
      <c r="B35" s="29" t="n">
        <v>0.9069444444444444</v>
      </c>
      <c r="C35" s="30" t="inlineStr">
        <is>
          <t>Pipistrellus sp.</t>
        </is>
      </c>
      <c r="D35" s="31" t="n"/>
      <c r="E35" s="30" t="inlineStr">
        <is>
          <t>Padova</t>
        </is>
      </c>
      <c r="F35" s="30" t="inlineStr">
        <is>
          <t>Padova</t>
        </is>
      </c>
      <c r="G35" s="30" t="inlineStr">
        <is>
          <t>PD</t>
        </is>
      </c>
      <c r="H35" s="30" t="n"/>
      <c r="I35" s="30" t="n"/>
      <c r="J35" s="30" t="inlineStr">
        <is>
          <t>adulto</t>
        </is>
      </c>
      <c r="K35" s="31" t="n">
        <v>1</v>
      </c>
      <c r="L35" s="30" t="inlineStr">
        <is>
          <t>Predato da gatto, morto poco dopo</t>
        </is>
      </c>
      <c r="M35" s="30" t="inlineStr">
        <is>
          <t>morto</t>
        </is>
      </c>
      <c r="N35" s="28" t="n"/>
    </row>
    <row r="36" customFormat="1" s="21">
      <c r="A36" s="28" t="n">
        <v>45810</v>
      </c>
      <c r="B36" s="29" t="n">
        <v>0.8284722222222223</v>
      </c>
      <c r="C36" s="30" t="inlineStr">
        <is>
          <t>Hypsugo savii</t>
        </is>
      </c>
      <c r="D36" s="31" t="n"/>
      <c r="E36" s="30" t="inlineStr">
        <is>
          <t>Padova</t>
        </is>
      </c>
      <c r="F36" s="30" t="inlineStr">
        <is>
          <t>Padova</t>
        </is>
      </c>
      <c r="G36" s="30" t="inlineStr">
        <is>
          <t>PD</t>
        </is>
      </c>
      <c r="H36" s="30" t="n"/>
      <c r="I36" s="30" t="n"/>
      <c r="J36" s="30" t="inlineStr">
        <is>
          <t>adulto</t>
        </is>
      </c>
      <c r="K36" s="31" t="n">
        <v>1</v>
      </c>
      <c r="L36" s="30" t="inlineStr">
        <is>
          <t>Fermo sul muro</t>
        </is>
      </c>
      <c r="M36" s="30" t="inlineStr">
        <is>
          <t>liberato</t>
        </is>
      </c>
      <c r="N36" s="30" t="n"/>
    </row>
    <row r="37" customFormat="1" s="21">
      <c r="A37" s="28" t="n">
        <v>45811</v>
      </c>
      <c r="B37" s="29" t="n">
        <v>0.8458333333333333</v>
      </c>
      <c r="C37" s="30" t="inlineStr">
        <is>
          <t>Pipistrellus sp.</t>
        </is>
      </c>
      <c r="D37" s="31" t="n"/>
      <c r="E37" s="30" t="inlineStr">
        <is>
          <t>Dueville</t>
        </is>
      </c>
      <c r="F37" s="30" t="inlineStr">
        <is>
          <t>Dueville</t>
        </is>
      </c>
      <c r="G37" s="30" t="inlineStr">
        <is>
          <t>VI</t>
        </is>
      </c>
      <c r="H37" s="30" t="n"/>
      <c r="I37" s="30" t="n"/>
      <c r="J37" s="30" t="inlineStr">
        <is>
          <t>adulto</t>
        </is>
      </c>
      <c r="K37" s="31" t="n">
        <v>1</v>
      </c>
      <c r="L37" s="30" t="inlineStr">
        <is>
          <t>caduto dalla saracinesca ferito (frattura avambraccio)</t>
        </is>
      </c>
      <c r="M37" s="30" t="inlineStr">
        <is>
          <t>morto</t>
        </is>
      </c>
      <c r="N37" s="28" t="n"/>
    </row>
    <row r="38" customFormat="1" s="21">
      <c r="A38" s="28" t="n">
        <v>45812</v>
      </c>
      <c r="B38" s="29" t="n">
        <v>0.6479166666666667</v>
      </c>
      <c r="C38" s="30" t="inlineStr">
        <is>
          <t>Pipistrellus sp.</t>
        </is>
      </c>
      <c r="D38" s="31" t="n"/>
      <c r="E38" s="30" t="inlineStr">
        <is>
          <t>Creazzo</t>
        </is>
      </c>
      <c r="F38" s="30" t="inlineStr">
        <is>
          <t>Creazzo</t>
        </is>
      </c>
      <c r="G38" s="30" t="inlineStr">
        <is>
          <t>VI</t>
        </is>
      </c>
      <c r="H38" s="30" t="n"/>
      <c r="I38" s="30" t="n"/>
      <c r="J38" s="30" t="inlineStr">
        <is>
          <t>neonato</t>
        </is>
      </c>
      <c r="K38" s="31" t="n">
        <v>1</v>
      </c>
      <c r="L38" s="30" t="inlineStr">
        <is>
          <t>2 neonati a terra, impossibile recupero dalla madre</t>
        </is>
      </c>
      <c r="M38" s="30" t="inlineStr">
        <is>
          <t>liberato</t>
        </is>
      </c>
      <c r="N38" s="30" t="n"/>
    </row>
    <row r="39" customFormat="1" s="21">
      <c r="A39" s="28" t="n">
        <v>45812</v>
      </c>
      <c r="B39" s="29" t="n">
        <v>0.6479166666666667</v>
      </c>
      <c r="C39" s="30" t="inlineStr">
        <is>
          <t>Pipistrellus sp.</t>
        </is>
      </c>
      <c r="D39" s="31" t="n"/>
      <c r="E39" s="30" t="inlineStr">
        <is>
          <t>Creazzo</t>
        </is>
      </c>
      <c r="F39" s="30" t="inlineStr">
        <is>
          <t>Creazzo</t>
        </is>
      </c>
      <c r="G39" s="30" t="inlineStr">
        <is>
          <t>VI</t>
        </is>
      </c>
      <c r="H39" s="30" t="n"/>
      <c r="I39" s="30" t="n"/>
      <c r="J39" s="30" t="inlineStr">
        <is>
          <t>neonato</t>
        </is>
      </c>
      <c r="K39" s="31" t="n">
        <v>1</v>
      </c>
      <c r="L39" s="30" t="inlineStr">
        <is>
          <t>x</t>
        </is>
      </c>
      <c r="M39" s="30" t="inlineStr">
        <is>
          <t>liberato</t>
        </is>
      </c>
      <c r="N39" s="28" t="n"/>
    </row>
    <row r="40" customFormat="1" s="21">
      <c r="A40" s="28" t="n">
        <v>45813</v>
      </c>
      <c r="B40" s="29" t="n">
        <v>0.4013888888888889</v>
      </c>
      <c r="C40" s="30" t="inlineStr">
        <is>
          <t>Pipistrellus sp.</t>
        </is>
      </c>
      <c r="D40" s="31" t="n"/>
      <c r="E40" s="30" t="inlineStr">
        <is>
          <t>Creazzo</t>
        </is>
      </c>
      <c r="F40" s="30" t="inlineStr">
        <is>
          <t>Vicenza</t>
        </is>
      </c>
      <c r="G40" s="30" t="inlineStr">
        <is>
          <t>VI</t>
        </is>
      </c>
      <c r="H40" s="30" t="n"/>
      <c r="I40" s="30" t="n"/>
      <c r="J40" s="30" t="inlineStr">
        <is>
          <t>neonato</t>
        </is>
      </c>
      <c r="K40" s="31" t="n">
        <v>1</v>
      </c>
      <c r="L40" s="30" t="inlineStr">
        <is>
          <t>Recupero da parte della madre fallito</t>
        </is>
      </c>
      <c r="M40" s="30" t="inlineStr">
        <is>
          <t>liberato</t>
        </is>
      </c>
      <c r="N40" s="30" t="n"/>
    </row>
    <row r="41" customFormat="1" s="21">
      <c r="A41" s="28" t="n">
        <v>45813</v>
      </c>
      <c r="B41" s="29" t="n">
        <v>0.4770833333333334</v>
      </c>
      <c r="C41" s="30" t="inlineStr">
        <is>
          <t>Hypsugo savii</t>
        </is>
      </c>
      <c r="D41" s="31" t="n"/>
      <c r="E41" s="30" t="inlineStr">
        <is>
          <t>Via Brigata orobica 9</t>
        </is>
      </c>
      <c r="F41" s="30" t="inlineStr">
        <is>
          <t>Camisano vicentino</t>
        </is>
      </c>
      <c r="G41" s="30" t="inlineStr">
        <is>
          <t>VI</t>
        </is>
      </c>
      <c r="H41" s="30" t="n"/>
      <c r="I41" s="30" t="n"/>
      <c r="J41" s="30" t="inlineStr">
        <is>
          <t>adulto</t>
        </is>
      </c>
      <c r="K41" s="31" t="n">
        <v>1</v>
      </c>
      <c r="L41" s="30" t="inlineStr">
        <is>
          <t>Ferito a terra, predato da gatto</t>
        </is>
      </c>
      <c r="M41" s="30" t="inlineStr">
        <is>
          <t>morto</t>
        </is>
      </c>
      <c r="N41" s="30" t="n"/>
    </row>
    <row r="42" customFormat="1" s="21">
      <c r="A42" s="28" t="n">
        <v>45813</v>
      </c>
      <c r="B42" s="29" t="n">
        <v>0.5784722222222223</v>
      </c>
      <c r="C42" s="30" t="inlineStr">
        <is>
          <t>Pipistrellus kuhlii</t>
        </is>
      </c>
      <c r="D42" s="31" t="n"/>
      <c r="E42" s="30" t="inlineStr">
        <is>
          <t>Via Andrea Moschetti 7</t>
        </is>
      </c>
      <c r="F42" s="30" t="inlineStr">
        <is>
          <t>Padova</t>
        </is>
      </c>
      <c r="G42" s="30" t="inlineStr">
        <is>
          <t>PD</t>
        </is>
      </c>
      <c r="H42" s="30" t="n"/>
      <c r="I42" s="30" t="n"/>
      <c r="J42" s="30" t="inlineStr">
        <is>
          <t>adulto</t>
        </is>
      </c>
      <c r="K42" s="31" t="n">
        <v>1</v>
      </c>
      <c r="L42" s="30" t="inlineStr">
        <is>
          <t>Ferito a terra, predato da gatto</t>
        </is>
      </c>
      <c r="M42" s="30" t="inlineStr">
        <is>
          <t>morto</t>
        </is>
      </c>
      <c r="N42" s="30" t="n"/>
    </row>
    <row r="43" ht="30" customFormat="1" customHeight="1" s="21">
      <c r="A43" s="28" t="n">
        <v>45813</v>
      </c>
      <c r="B43" s="29" t="n">
        <v>0.86875</v>
      </c>
      <c r="C43" s="30" t="inlineStr">
        <is>
          <t>Pipistrellus sp.</t>
        </is>
      </c>
      <c r="D43" s="31" t="n"/>
      <c r="E43" s="30" t="inlineStr">
        <is>
          <t>Bergamo</t>
        </is>
      </c>
      <c r="F43" s="30" t="inlineStr">
        <is>
          <t>Bergamo</t>
        </is>
      </c>
      <c r="G43" s="30" t="inlineStr">
        <is>
          <t>BG</t>
        </is>
      </c>
      <c r="H43" s="30" t="n"/>
      <c r="I43" s="30" t="n"/>
      <c r="J43" s="30" t="inlineStr">
        <is>
          <t>neonato</t>
        </is>
      </c>
      <c r="K43" s="31" t="n">
        <v>1</v>
      </c>
      <c r="L43" s="30" t="inlineStr">
        <is>
          <t>Trovato a terra</t>
        </is>
      </c>
      <c r="M43" s="30" t="inlineStr">
        <is>
          <t>recuperato da madre</t>
        </is>
      </c>
      <c r="N43" s="30" t="n">
        <v>1</v>
      </c>
    </row>
    <row r="44" customFormat="1" s="21">
      <c r="A44" s="28" t="n">
        <v>45814</v>
      </c>
      <c r="B44" s="29" t="n">
        <v>0.7618055555555555</v>
      </c>
      <c r="C44" s="30" t="inlineStr">
        <is>
          <t>Pipistrellus sp.</t>
        </is>
      </c>
      <c r="D44" s="31" t="n"/>
      <c r="E44" s="30" t="inlineStr">
        <is>
          <t>Pojana Maggiore</t>
        </is>
      </c>
      <c r="F44" s="30" t="inlineStr">
        <is>
          <t>Pojana Maggiore</t>
        </is>
      </c>
      <c r="G44" s="30" t="inlineStr">
        <is>
          <t>VI</t>
        </is>
      </c>
      <c r="H44" s="30" t="n"/>
      <c r="I44" s="30" t="n"/>
      <c r="J44" s="30" t="inlineStr">
        <is>
          <t>neonato</t>
        </is>
      </c>
      <c r="K44" s="31" t="n">
        <v>1</v>
      </c>
      <c r="L44" s="30" t="inlineStr">
        <is>
          <t>Neonato non recuperato dalla madre</t>
        </is>
      </c>
      <c r="M44" s="30" t="inlineStr">
        <is>
          <t>liberato</t>
        </is>
      </c>
      <c r="N44" s="28" t="n"/>
    </row>
    <row r="45" customFormat="1" s="21">
      <c r="A45" s="28" t="n">
        <v>45815</v>
      </c>
      <c r="B45" s="29" t="n">
        <v>0.4034722222222222</v>
      </c>
      <c r="C45" s="30" t="inlineStr">
        <is>
          <t>Pipistrellus sp.</t>
        </is>
      </c>
      <c r="D45" s="31" t="n"/>
      <c r="E45" s="30" t="inlineStr">
        <is>
          <t>Largo Europa</t>
        </is>
      </c>
      <c r="F45" s="30" t="inlineStr">
        <is>
          <t>Pojana Maggiore</t>
        </is>
      </c>
      <c r="G45" s="30" t="inlineStr">
        <is>
          <t>VI</t>
        </is>
      </c>
      <c r="H45" s="30" t="n"/>
      <c r="I45" s="30" t="n"/>
      <c r="J45" s="30" t="inlineStr">
        <is>
          <t>neonato</t>
        </is>
      </c>
      <c r="K45" s="31" t="n">
        <v>1</v>
      </c>
      <c r="L45" s="30" t="inlineStr">
        <is>
          <t>Fallito recupero da parte della madre</t>
        </is>
      </c>
      <c r="M45" s="30" t="inlineStr">
        <is>
          <t>liberato</t>
        </is>
      </c>
      <c r="N45" s="30" t="n"/>
    </row>
    <row r="46" customFormat="1" s="21">
      <c r="A46" s="28" t="n">
        <v>45817</v>
      </c>
      <c r="B46" s="29" t="n">
        <v>0.7819444444444444</v>
      </c>
      <c r="C46" s="30" t="inlineStr">
        <is>
          <t>Pipistrellus sp.</t>
        </is>
      </c>
      <c r="D46" s="31" t="n"/>
      <c r="E46" s="30" t="inlineStr">
        <is>
          <t>Piazzola sul Brenta</t>
        </is>
      </c>
      <c r="F46" s="30" t="inlineStr">
        <is>
          <t>Padova</t>
        </is>
      </c>
      <c r="G46" s="30" t="inlineStr">
        <is>
          <t>PD</t>
        </is>
      </c>
      <c r="H46" s="30" t="n"/>
      <c r="I46" s="30" t="n"/>
      <c r="J46" s="30" t="inlineStr">
        <is>
          <t>neonato</t>
        </is>
      </c>
      <c r="K46" s="31" t="n">
        <v>1</v>
      </c>
      <c r="L46" s="30" t="inlineStr">
        <is>
          <t xml:space="preserve">Debilitato </t>
        </is>
      </c>
      <c r="M46" s="30" t="inlineStr">
        <is>
          <t>liberato</t>
        </is>
      </c>
      <c r="N46" s="28" t="n"/>
    </row>
    <row r="47" customFormat="1" s="21">
      <c r="A47" s="28" t="n">
        <v>45819</v>
      </c>
      <c r="B47" s="29" t="n">
        <v>0.4590277777777778</v>
      </c>
      <c r="C47" s="30" t="inlineStr">
        <is>
          <t>Hypsugo savii</t>
        </is>
      </c>
      <c r="D47" s="31" t="n"/>
      <c r="E47" s="30" t="inlineStr">
        <is>
          <t>Via Corelli</t>
        </is>
      </c>
      <c r="F47" s="30" t="inlineStr">
        <is>
          <t>Vicenza</t>
        </is>
      </c>
      <c r="G47" s="30" t="inlineStr">
        <is>
          <t>VI</t>
        </is>
      </c>
      <c r="H47" s="30" t="n"/>
      <c r="I47" s="30" t="n"/>
      <c r="J47" s="30" t="inlineStr">
        <is>
          <t>neonato</t>
        </is>
      </c>
      <c r="K47" s="31" t="n">
        <v>1</v>
      </c>
      <c r="L47" s="30" t="inlineStr">
        <is>
          <t>Piccolo con madre in difficoltà, deboli e feriti</t>
        </is>
      </c>
      <c r="M47" s="30" t="inlineStr">
        <is>
          <t>morto</t>
        </is>
      </c>
      <c r="N47" s="30" t="n"/>
    </row>
    <row r="48" customFormat="1" s="21">
      <c r="A48" s="28" t="n">
        <v>45819</v>
      </c>
      <c r="B48" s="29" t="n">
        <v>0.4590277777777778</v>
      </c>
      <c r="C48" s="30" t="inlineStr">
        <is>
          <t>Hypsugo savii</t>
        </is>
      </c>
      <c r="D48" s="31" t="inlineStr">
        <is>
          <t>F</t>
        </is>
      </c>
      <c r="E48" s="30" t="inlineStr">
        <is>
          <t>Via Corelli</t>
        </is>
      </c>
      <c r="F48" s="30" t="inlineStr">
        <is>
          <t>Vicenza</t>
        </is>
      </c>
      <c r="G48" s="30" t="inlineStr">
        <is>
          <t>VI</t>
        </is>
      </c>
      <c r="H48" s="30" t="n"/>
      <c r="I48" s="30" t="n"/>
      <c r="J48" s="30" t="inlineStr">
        <is>
          <t>adulto</t>
        </is>
      </c>
      <c r="K48" s="31" t="n">
        <v>1</v>
      </c>
      <c r="L48" s="30" t="inlineStr">
        <is>
          <t>Piccolo con madre in difficoltà, deboli e feriti</t>
        </is>
      </c>
      <c r="M48" s="30" t="inlineStr">
        <is>
          <t>morto</t>
        </is>
      </c>
      <c r="N48" s="30" t="n"/>
    </row>
    <row r="49" customFormat="1" s="21">
      <c r="A49" s="28" t="n">
        <v>45819</v>
      </c>
      <c r="B49" s="29" t="n">
        <v>0.5256944444444445</v>
      </c>
      <c r="C49" s="30" t="inlineStr">
        <is>
          <t>Hypsugo savii</t>
        </is>
      </c>
      <c r="D49" s="31" t="n"/>
      <c r="E49" s="30" t="inlineStr">
        <is>
          <t>Vicenza</t>
        </is>
      </c>
      <c r="F49" s="30" t="inlineStr">
        <is>
          <t>Vicenza</t>
        </is>
      </c>
      <c r="G49" s="30" t="inlineStr">
        <is>
          <t>VI</t>
        </is>
      </c>
      <c r="H49" s="30" t="n"/>
      <c r="I49" s="30" t="n"/>
      <c r="J49" s="30" t="inlineStr">
        <is>
          <t>adulto</t>
        </is>
      </c>
      <c r="K49" s="31" t="n">
        <v>1</v>
      </c>
      <c r="L49" s="30" t="inlineStr">
        <is>
          <t>Debilitato a terra</t>
        </is>
      </c>
      <c r="M49" s="30" t="inlineStr">
        <is>
          <t>liberato</t>
        </is>
      </c>
      <c r="N49" s="30" t="n"/>
    </row>
    <row r="50" ht="30" customFormat="1" customHeight="1" s="21">
      <c r="A50" s="28" t="n">
        <v>45819</v>
      </c>
      <c r="B50" s="29" t="n">
        <v>0.76875</v>
      </c>
      <c r="C50" s="30" t="inlineStr">
        <is>
          <t>Pipistrellus sp.</t>
        </is>
      </c>
      <c r="D50" s="31" t="n"/>
      <c r="E50" s="30" t="inlineStr">
        <is>
          <t>Padova</t>
        </is>
      </c>
      <c r="F50" s="30" t="inlineStr">
        <is>
          <t>Padova</t>
        </is>
      </c>
      <c r="G50" s="30" t="inlineStr">
        <is>
          <t>PD</t>
        </is>
      </c>
      <c r="H50" s="30" t="n"/>
      <c r="I50" s="30" t="n"/>
      <c r="J50" s="30" t="inlineStr">
        <is>
          <t>neonato</t>
        </is>
      </c>
      <c r="K50" s="31" t="n">
        <v>1</v>
      </c>
      <c r="L50" s="30" t="inlineStr">
        <is>
          <t>Piccolo recuperato dalla madre</t>
        </is>
      </c>
      <c r="M50" s="30" t="inlineStr">
        <is>
          <t>recuperato da madre</t>
        </is>
      </c>
      <c r="N50" s="30" t="n">
        <v>1</v>
      </c>
    </row>
    <row r="51" ht="30" customFormat="1" customHeight="1" s="21">
      <c r="A51" s="28" t="n">
        <v>45820</v>
      </c>
      <c r="B51" s="29" t="n">
        <v>0.4319444444444445</v>
      </c>
      <c r="C51" s="30" t="inlineStr">
        <is>
          <t>Pipistrellus sp.</t>
        </is>
      </c>
      <c r="D51" s="31" t="n"/>
      <c r="E51" s="30" t="inlineStr">
        <is>
          <t>Via Aulo Gellio Valle 23</t>
        </is>
      </c>
      <c r="F51" s="30" t="inlineStr">
        <is>
          <t>Vicenza</t>
        </is>
      </c>
      <c r="G51" s="30" t="inlineStr">
        <is>
          <t>VI</t>
        </is>
      </c>
      <c r="H51" s="30" t="n"/>
      <c r="I51" s="30" t="n"/>
      <c r="J51" s="30" t="inlineStr">
        <is>
          <t>neonato</t>
        </is>
      </c>
      <c r="K51" s="31" t="n">
        <v>1</v>
      </c>
      <c r="L51" s="30" t="inlineStr">
        <is>
          <t>2 neonati Fallito recupero da parte della madre</t>
        </is>
      </c>
      <c r="M51" s="30" t="inlineStr">
        <is>
          <t>liberato</t>
        </is>
      </c>
      <c r="N51" s="28" t="n"/>
    </row>
    <row r="52" ht="30" customFormat="1" customHeight="1" s="21">
      <c r="A52" s="28" t="n">
        <v>45820</v>
      </c>
      <c r="B52" s="29" t="n">
        <v>0.4319444444444445</v>
      </c>
      <c r="C52" s="30" t="inlineStr">
        <is>
          <t>Pipistrellus sp.</t>
        </is>
      </c>
      <c r="D52" s="31" t="n"/>
      <c r="E52" s="30" t="inlineStr">
        <is>
          <t>Via Aulo Gellio Valle 23</t>
        </is>
      </c>
      <c r="F52" s="30" t="inlineStr">
        <is>
          <t>Vicenza</t>
        </is>
      </c>
      <c r="G52" s="30" t="inlineStr">
        <is>
          <t>VI</t>
        </is>
      </c>
      <c r="H52" s="30" t="n"/>
      <c r="I52" s="30" t="n"/>
      <c r="J52" s="30" t="inlineStr">
        <is>
          <t>neonato</t>
        </is>
      </c>
      <c r="K52" s="31" t="n">
        <v>1</v>
      </c>
      <c r="L52" s="30" t="inlineStr">
        <is>
          <t>2 neonati Fallito recupero da parte della madre</t>
        </is>
      </c>
      <c r="M52" s="30" t="inlineStr">
        <is>
          <t>liberato</t>
        </is>
      </c>
      <c r="N52" s="28" t="n"/>
    </row>
    <row r="53" customFormat="1" s="21">
      <c r="A53" s="28" t="n">
        <v>45820</v>
      </c>
      <c r="B53" s="29" t="n">
        <v>0.6430555555555556</v>
      </c>
      <c r="C53" s="30" t="inlineStr">
        <is>
          <t>Pipistrellus sp.</t>
        </is>
      </c>
      <c r="D53" s="31" t="n"/>
      <c r="E53" s="30" t="inlineStr">
        <is>
          <t>Zona Baracche</t>
        </is>
      </c>
      <c r="F53" s="30" t="inlineStr">
        <is>
          <t>Tezze sul Brenta</t>
        </is>
      </c>
      <c r="G53" s="30" t="inlineStr">
        <is>
          <t>VI</t>
        </is>
      </c>
      <c r="H53" s="30" t="n"/>
      <c r="I53" s="30" t="n"/>
      <c r="J53" s="30" t="inlineStr">
        <is>
          <t>adulto</t>
        </is>
      </c>
      <c r="K53" s="31" t="n">
        <v>1</v>
      </c>
      <c r="L53" s="30" t="inlineStr">
        <is>
          <t>Molto magro e debilitato, morto poco dopo</t>
        </is>
      </c>
      <c r="M53" s="30" t="inlineStr">
        <is>
          <t>morto</t>
        </is>
      </c>
      <c r="N53" s="28" t="n"/>
    </row>
    <row r="54" customFormat="1" s="21">
      <c r="A54" s="28" t="n">
        <v>45820</v>
      </c>
      <c r="B54" s="29" t="n">
        <v>0.6701388888888888</v>
      </c>
      <c r="C54" s="30" t="inlineStr">
        <is>
          <t>Hypsugo savii</t>
        </is>
      </c>
      <c r="D54" s="31" t="inlineStr">
        <is>
          <t>F</t>
        </is>
      </c>
      <c r="E54" s="30" t="inlineStr">
        <is>
          <t>Rosà</t>
        </is>
      </c>
      <c r="F54" s="30" t="inlineStr">
        <is>
          <t>Vicenza</t>
        </is>
      </c>
      <c r="G54" s="30" t="inlineStr">
        <is>
          <t>VI</t>
        </is>
      </c>
      <c r="H54" s="30" t="n"/>
      <c r="I54" s="30" t="n"/>
      <c r="J54" s="30" t="inlineStr">
        <is>
          <t>adulto</t>
        </is>
      </c>
      <c r="K54" s="31" t="n">
        <v>1</v>
      </c>
      <c r="L54" s="30" t="inlineStr">
        <is>
          <t>Madre con 2 piccoli debilitati</t>
        </is>
      </c>
      <c r="M54" s="30" t="inlineStr">
        <is>
          <t>liberato</t>
        </is>
      </c>
      <c r="N54" s="30" t="n"/>
    </row>
    <row r="55" customFormat="1" s="21">
      <c r="A55" s="28" t="n">
        <v>45820</v>
      </c>
      <c r="B55" s="29" t="n">
        <v>0.6701388888888888</v>
      </c>
      <c r="C55" s="30" t="inlineStr">
        <is>
          <t>Hypsugo savii</t>
        </is>
      </c>
      <c r="D55" s="31" t="n"/>
      <c r="E55" s="30" t="inlineStr">
        <is>
          <t>Rosà</t>
        </is>
      </c>
      <c r="F55" s="30" t="inlineStr">
        <is>
          <t>Vicenza</t>
        </is>
      </c>
      <c r="G55" s="30" t="inlineStr">
        <is>
          <t>VI</t>
        </is>
      </c>
      <c r="H55" s="30" t="n"/>
      <c r="I55" s="30" t="n"/>
      <c r="J55" s="30" t="inlineStr">
        <is>
          <t>neonato</t>
        </is>
      </c>
      <c r="K55" s="31" t="n">
        <v>1</v>
      </c>
      <c r="L55" s="30" t="inlineStr">
        <is>
          <t>piccolo con madre debilitati</t>
        </is>
      </c>
      <c r="M55" s="30" t="inlineStr">
        <is>
          <t>liberato</t>
        </is>
      </c>
      <c r="N55" s="30" t="n"/>
    </row>
    <row r="56" customFormat="1" s="21">
      <c r="A56" s="28" t="n">
        <v>45820</v>
      </c>
      <c r="B56" s="29" t="n">
        <v>0.6701388888888888</v>
      </c>
      <c r="C56" s="30" t="inlineStr">
        <is>
          <t>Hypsugo savii</t>
        </is>
      </c>
      <c r="D56" s="31" t="n"/>
      <c r="E56" s="30" t="inlineStr">
        <is>
          <t>Rosà</t>
        </is>
      </c>
      <c r="F56" s="30" t="inlineStr">
        <is>
          <t>Vicenza</t>
        </is>
      </c>
      <c r="G56" s="30" t="inlineStr">
        <is>
          <t>VI</t>
        </is>
      </c>
      <c r="H56" s="30" t="n"/>
      <c r="I56" s="30" t="n"/>
      <c r="J56" s="30" t="inlineStr">
        <is>
          <t>neonato</t>
        </is>
      </c>
      <c r="K56" s="31" t="n">
        <v>2</v>
      </c>
      <c r="L56" s="30" t="inlineStr">
        <is>
          <t>piccolo con madre debilitati</t>
        </is>
      </c>
      <c r="M56" s="30" t="inlineStr">
        <is>
          <t>morto</t>
        </is>
      </c>
      <c r="N56" s="30" t="n"/>
    </row>
    <row r="57" customFormat="1" s="21">
      <c r="A57" s="28" t="n">
        <v>45821</v>
      </c>
      <c r="B57" s="29" t="n">
        <v>0.4347222222222222</v>
      </c>
      <c r="C57" s="30" t="inlineStr">
        <is>
          <t>Pipistrellus kuhlii</t>
        </is>
      </c>
      <c r="D57" s="31" t="n"/>
      <c r="E57" s="30" t="inlineStr">
        <is>
          <t>Ufficio agenzia I-model</t>
        </is>
      </c>
      <c r="F57" s="30" t="inlineStr">
        <is>
          <t>Thiene</t>
        </is>
      </c>
      <c r="G57" s="30" t="inlineStr">
        <is>
          <t>VI</t>
        </is>
      </c>
      <c r="H57" s="30" t="n"/>
      <c r="I57" s="30" t="n"/>
      <c r="J57" s="30" t="inlineStr">
        <is>
          <t>neonato</t>
        </is>
      </c>
      <c r="K57" s="31" t="n">
        <v>1</v>
      </c>
      <c r="L57" s="30" t="inlineStr">
        <is>
          <t>Neonato non è possibile tentare ricongiungimento con la madre</t>
        </is>
      </c>
      <c r="M57" s="30" t="inlineStr">
        <is>
          <t>liberato</t>
        </is>
      </c>
      <c r="N57" s="30" t="n"/>
    </row>
    <row r="58" customFormat="1" s="21">
      <c r="A58" s="28" t="n">
        <v>45821</v>
      </c>
      <c r="B58" s="29" t="n">
        <v>0.6777777777777778</v>
      </c>
      <c r="C58" s="30" t="inlineStr">
        <is>
          <t>Pipistrellus kuhlii</t>
        </is>
      </c>
      <c r="D58" s="31" t="n"/>
      <c r="E58" s="30" t="inlineStr">
        <is>
          <t>Campagna Lupia</t>
        </is>
      </c>
      <c r="F58" s="30" t="inlineStr">
        <is>
          <t>Venezia</t>
        </is>
      </c>
      <c r="G58" s="30" t="inlineStr">
        <is>
          <t>VE</t>
        </is>
      </c>
      <c r="H58" s="30" t="n"/>
      <c r="I58" s="30" t="n"/>
      <c r="J58" s="30" t="inlineStr">
        <is>
          <t>neonato</t>
        </is>
      </c>
      <c r="K58" s="31" t="n">
        <v>1</v>
      </c>
      <c r="L58" s="30" t="inlineStr">
        <is>
          <t>Molto magro e debilitato</t>
        </is>
      </c>
      <c r="M58" s="30" t="inlineStr">
        <is>
          <t>morto</t>
        </is>
      </c>
      <c r="N58" s="28" t="n"/>
    </row>
    <row r="59" customFormat="1" s="21">
      <c r="A59" s="28" t="n">
        <v>45821</v>
      </c>
      <c r="B59" s="29" t="n">
        <v>0.76875</v>
      </c>
      <c r="C59" s="30" t="inlineStr">
        <is>
          <t>Pipistrellus sp.</t>
        </is>
      </c>
      <c r="D59" s="31" t="n"/>
      <c r="E59" s="30" t="inlineStr">
        <is>
          <t>Vicenza</t>
        </is>
      </c>
      <c r="F59" s="30" t="inlineStr">
        <is>
          <t>Vicenza</t>
        </is>
      </c>
      <c r="G59" s="30" t="inlineStr">
        <is>
          <t>VI</t>
        </is>
      </c>
      <c r="H59" s="30" t="n"/>
      <c r="I59" s="30" t="n"/>
      <c r="J59" s="30" t="inlineStr">
        <is>
          <t>neonato</t>
        </is>
      </c>
      <c r="K59" s="31" t="n">
        <v>1</v>
      </c>
      <c r="L59" s="30" t="inlineStr">
        <is>
          <t>Debilitato a terra</t>
        </is>
      </c>
      <c r="M59" s="30" t="inlineStr">
        <is>
          <t>liberato</t>
        </is>
      </c>
      <c r="N59" s="30" t="n"/>
    </row>
    <row r="60" ht="30" customFormat="1" customHeight="1" s="21">
      <c r="A60" s="28" t="n">
        <v>45821</v>
      </c>
      <c r="B60" s="29" t="n">
        <v>0.7840277777777778</v>
      </c>
      <c r="C60" s="30" t="inlineStr">
        <is>
          <t>Pipistrellus sp.</t>
        </is>
      </c>
      <c r="D60" s="31" t="n"/>
      <c r="E60" s="30" t="inlineStr">
        <is>
          <t>San Pietro in Gu</t>
        </is>
      </c>
      <c r="F60" s="30" t="inlineStr">
        <is>
          <t>Padova</t>
        </is>
      </c>
      <c r="G60" s="30" t="inlineStr">
        <is>
          <t>PD</t>
        </is>
      </c>
      <c r="H60" s="30" t="n"/>
      <c r="I60" s="30" t="n"/>
      <c r="J60" s="30" t="inlineStr">
        <is>
          <t>neonato</t>
        </is>
      </c>
      <c r="K60" s="31" t="n">
        <v>1</v>
      </c>
      <c r="L60" s="30" t="inlineStr">
        <is>
          <t>Recuperato vicino a un marciapiede, non possibile tentare il ricongiungimento con la madre</t>
        </is>
      </c>
      <c r="M60" s="30" t="inlineStr">
        <is>
          <t>liberato</t>
        </is>
      </c>
      <c r="N60" s="28" t="n"/>
    </row>
    <row r="61" customFormat="1" s="21">
      <c r="A61" s="28" t="n">
        <v>45821</v>
      </c>
      <c r="B61" s="29" t="n">
        <v>0.95625</v>
      </c>
      <c r="C61" s="30" t="inlineStr">
        <is>
          <t>Pipistrellus sp.</t>
        </is>
      </c>
      <c r="D61" s="31" t="n"/>
      <c r="E61" s="30" t="inlineStr">
        <is>
          <t>Adria</t>
        </is>
      </c>
      <c r="F61" s="30" t="inlineStr">
        <is>
          <t>Rovigo</t>
        </is>
      </c>
      <c r="G61" s="30" t="inlineStr">
        <is>
          <t>RO</t>
        </is>
      </c>
      <c r="H61" s="30" t="n"/>
      <c r="I61" s="30" t="n"/>
      <c r="J61" s="30" t="inlineStr">
        <is>
          <t>neonato</t>
        </is>
      </c>
      <c r="K61" s="31" t="n">
        <v>2</v>
      </c>
      <c r="L61" s="30" t="inlineStr">
        <is>
          <t>(2 piccoli) fallito recupero da parte della madre</t>
        </is>
      </c>
      <c r="M61" s="30" t="inlineStr">
        <is>
          <t>liberato</t>
        </is>
      </c>
      <c r="N61" s="30" t="n"/>
    </row>
    <row r="62" customFormat="1" s="21">
      <c r="A62" s="28" t="n">
        <v>45821</v>
      </c>
      <c r="B62" s="29" t="n">
        <v>0.95625</v>
      </c>
      <c r="C62" s="30" t="inlineStr">
        <is>
          <t>Pipistrellus sp.</t>
        </is>
      </c>
      <c r="D62" s="31" t="n"/>
      <c r="E62" s="30" t="inlineStr">
        <is>
          <t>Adria</t>
        </is>
      </c>
      <c r="F62" s="30" t="inlineStr">
        <is>
          <t>Rovigo</t>
        </is>
      </c>
      <c r="G62" s="30" t="inlineStr">
        <is>
          <t>RO</t>
        </is>
      </c>
      <c r="H62" s="30" t="n"/>
      <c r="I62" s="30" t="n"/>
      <c r="J62" s="30" t="inlineStr">
        <is>
          <t>neonato</t>
        </is>
      </c>
      <c r="K62" s="31" t="n">
        <v>1</v>
      </c>
      <c r="L62" s="30" t="inlineStr">
        <is>
          <t>fallito recupero da parte della madre</t>
        </is>
      </c>
      <c r="M62" s="30" t="inlineStr">
        <is>
          <t>liberato</t>
        </is>
      </c>
      <c r="N62" s="28" t="n"/>
    </row>
    <row r="63" customFormat="1" s="21">
      <c r="A63" s="28" t="n">
        <v>45822</v>
      </c>
      <c r="B63" s="29" t="n">
        <v>0.675</v>
      </c>
      <c r="C63" s="30" t="inlineStr">
        <is>
          <t>Pipistrellus sp.</t>
        </is>
      </c>
      <c r="D63" s="31" t="n"/>
      <c r="E63" s="30" t="inlineStr">
        <is>
          <t>Verona</t>
        </is>
      </c>
      <c r="F63" s="30" t="inlineStr">
        <is>
          <t>Verona</t>
        </is>
      </c>
      <c r="G63" s="30" t="inlineStr">
        <is>
          <t>VR</t>
        </is>
      </c>
      <c r="H63" s="30" t="n"/>
      <c r="I63" s="30" t="n"/>
      <c r="J63" s="30" t="inlineStr">
        <is>
          <t>neonato</t>
        </is>
      </c>
      <c r="K63" s="31" t="n">
        <v>1</v>
      </c>
      <c r="L63" s="30" t="inlineStr">
        <is>
          <t>Debilitato e forse ferito, il cras di verona rifiuta il recupero</t>
        </is>
      </c>
      <c r="M63" s="30" t="inlineStr">
        <is>
          <t>morto</t>
        </is>
      </c>
      <c r="N63" s="28" t="n"/>
    </row>
    <row r="64" customFormat="1" s="21">
      <c r="A64" s="28" t="n">
        <v>45822</v>
      </c>
      <c r="B64" s="29" t="n">
        <v>0.3138888888888889</v>
      </c>
      <c r="C64" s="30" t="inlineStr">
        <is>
          <t>Pipistrellus kuhlii</t>
        </is>
      </c>
      <c r="D64" s="31" t="n"/>
      <c r="E64" s="30" t="inlineStr">
        <is>
          <t xml:space="preserve">Martellago </t>
        </is>
      </c>
      <c r="F64" s="30" t="inlineStr">
        <is>
          <t>Venezia</t>
        </is>
      </c>
      <c r="G64" s="30" t="inlineStr">
        <is>
          <t>VE</t>
        </is>
      </c>
      <c r="H64" s="30" t="n"/>
      <c r="I64" s="30" t="n"/>
      <c r="J64" s="30" t="inlineStr">
        <is>
          <t>neonato</t>
        </is>
      </c>
      <c r="K64" s="31" t="n">
        <v>1</v>
      </c>
      <c r="L64" s="30" t="inlineStr">
        <is>
          <t>(2 neonati) Molto magri e debilitati</t>
        </is>
      </c>
      <c r="M64" s="30" t="inlineStr">
        <is>
          <t>liberato</t>
        </is>
      </c>
      <c r="N64" s="28" t="n"/>
    </row>
    <row r="65" customFormat="1" s="21">
      <c r="A65" s="28" t="n">
        <v>45822</v>
      </c>
      <c r="B65" s="29" t="n">
        <v>0.3138888888888889</v>
      </c>
      <c r="C65" s="30" t="inlineStr">
        <is>
          <t>Pipistrellus kuhlii</t>
        </is>
      </c>
      <c r="D65" s="31" t="n"/>
      <c r="E65" s="30" t="inlineStr">
        <is>
          <t xml:space="preserve">Martellago </t>
        </is>
      </c>
      <c r="F65" s="30" t="inlineStr">
        <is>
          <t>Venezia</t>
        </is>
      </c>
      <c r="G65" s="30" t="inlineStr">
        <is>
          <t>VE</t>
        </is>
      </c>
      <c r="H65" s="30" t="n"/>
      <c r="I65" s="30" t="n"/>
      <c r="J65" s="30" t="inlineStr">
        <is>
          <t>neonato</t>
        </is>
      </c>
      <c r="K65" s="31" t="n">
        <v>1</v>
      </c>
      <c r="L65" s="30" t="inlineStr">
        <is>
          <t>Molto magri e debilitati</t>
        </is>
      </c>
      <c r="M65" s="30" t="inlineStr">
        <is>
          <t>liberato</t>
        </is>
      </c>
      <c r="N65" s="28" t="n"/>
    </row>
    <row r="66" customFormat="1" s="21">
      <c r="A66" s="28" t="n">
        <v>45822</v>
      </c>
      <c r="B66" s="29" t="n">
        <v>0.5298611111111111</v>
      </c>
      <c r="C66" s="30" t="inlineStr">
        <is>
          <t>Pipistrellus sp.</t>
        </is>
      </c>
      <c r="D66" s="31" t="n"/>
      <c r="E66" s="30" t="inlineStr">
        <is>
          <t>Verona</t>
        </is>
      </c>
      <c r="F66" s="30" t="inlineStr">
        <is>
          <t>Verona</t>
        </is>
      </c>
      <c r="G66" s="30" t="inlineStr">
        <is>
          <t>VR</t>
        </is>
      </c>
      <c r="H66" s="30" t="n"/>
      <c r="I66" s="30" t="n"/>
      <c r="J66" s="30" t="inlineStr">
        <is>
          <t>neonato</t>
        </is>
      </c>
      <c r="K66" s="31" t="n">
        <v>1</v>
      </c>
      <c r="L66" s="30" t="inlineStr">
        <is>
          <t>Neonato, debilitato, il cras rifiuta il recupero</t>
        </is>
      </c>
      <c r="M66" s="30" t="inlineStr">
        <is>
          <t>liberato</t>
        </is>
      </c>
      <c r="N66" s="28" t="n"/>
    </row>
    <row r="67" customFormat="1" s="21">
      <c r="A67" s="28" t="n">
        <v>45823</v>
      </c>
      <c r="B67" s="29" t="n">
        <v>0.4402777777777778</v>
      </c>
      <c r="C67" s="30" t="inlineStr">
        <is>
          <t>Pipistrellus sp.</t>
        </is>
      </c>
      <c r="D67" s="31" t="n"/>
      <c r="E67" s="30" t="inlineStr">
        <is>
          <t>Cittadella</t>
        </is>
      </c>
      <c r="F67" s="30" t="inlineStr">
        <is>
          <t>Padova</t>
        </is>
      </c>
      <c r="G67" s="30" t="inlineStr">
        <is>
          <t>PD</t>
        </is>
      </c>
      <c r="H67" s="30" t="n"/>
      <c r="I67" s="30" t="n"/>
      <c r="J67" s="30" t="inlineStr">
        <is>
          <t>neonato</t>
        </is>
      </c>
      <c r="K67" s="31" t="n">
        <v>1</v>
      </c>
      <c r="L67" s="30" t="inlineStr">
        <is>
          <t>Neonato, debilitato</t>
        </is>
      </c>
      <c r="M67" s="30" t="inlineStr">
        <is>
          <t>liberato</t>
        </is>
      </c>
      <c r="N67" s="28" t="n"/>
    </row>
    <row r="68" customFormat="1" s="21">
      <c r="A68" s="28" t="n">
        <v>45823</v>
      </c>
      <c r="B68" s="29" t="n">
        <v>0.5069444444444444</v>
      </c>
      <c r="C68" s="30" t="inlineStr">
        <is>
          <t>Pipistrellus sp.</t>
        </is>
      </c>
      <c r="D68" s="31" t="n"/>
      <c r="E68" s="30" t="inlineStr">
        <is>
          <t>Via Thaon di Revel 36</t>
        </is>
      </c>
      <c r="F68" s="30" t="inlineStr">
        <is>
          <t>Vicenza</t>
        </is>
      </c>
      <c r="G68" s="30" t="inlineStr">
        <is>
          <t>VI</t>
        </is>
      </c>
      <c r="H68" s="30" t="n"/>
      <c r="I68" s="30" t="n"/>
      <c r="J68" s="30" t="inlineStr">
        <is>
          <t>neonato</t>
        </is>
      </c>
      <c r="K68" s="31" t="n">
        <v>1</v>
      </c>
      <c r="L68" s="30" t="inlineStr">
        <is>
          <t>Neonato molto magro e debilitato</t>
        </is>
      </c>
      <c r="M68" s="30" t="inlineStr">
        <is>
          <t>liberato</t>
        </is>
      </c>
      <c r="N68" s="28" t="n"/>
    </row>
    <row r="69" customFormat="1" s="21">
      <c r="A69" s="28" t="n">
        <v>45823</v>
      </c>
      <c r="B69" s="29" t="n">
        <v>0.8395833333333333</v>
      </c>
      <c r="C69" s="30" t="inlineStr">
        <is>
          <t>Pipistrellus sp.</t>
        </is>
      </c>
      <c r="D69" s="31" t="n"/>
      <c r="E69" s="30" t="inlineStr">
        <is>
          <t>Vicenza</t>
        </is>
      </c>
      <c r="F69" s="30" t="inlineStr">
        <is>
          <t>Vicenza</t>
        </is>
      </c>
      <c r="G69" s="30" t="inlineStr">
        <is>
          <t>VI</t>
        </is>
      </c>
      <c r="H69" s="30" t="n"/>
      <c r="I69" s="30" t="n"/>
      <c r="J69" s="30" t="inlineStr">
        <is>
          <t>neonato</t>
        </is>
      </c>
      <c r="K69" s="31" t="n">
        <v>1</v>
      </c>
      <c r="L69" s="30" t="inlineStr">
        <is>
          <t>Fortemente debilitato, morto poco dopo</t>
        </is>
      </c>
      <c r="M69" s="30" t="inlineStr">
        <is>
          <t>morto</t>
        </is>
      </c>
      <c r="N69" s="28" t="n"/>
    </row>
    <row r="70" customFormat="1" s="21">
      <c r="A70" s="28" t="n">
        <v>45823</v>
      </c>
      <c r="B70" s="29" t="n">
        <v>0.8833333333333333</v>
      </c>
      <c r="C70" s="30" t="inlineStr">
        <is>
          <t>Pipistrellus kuhlii</t>
        </is>
      </c>
      <c r="D70" s="31" t="n"/>
      <c r="E70" s="30" t="inlineStr">
        <is>
          <t>Montegalda</t>
        </is>
      </c>
      <c r="F70" s="30" t="inlineStr">
        <is>
          <t>Montegalda</t>
        </is>
      </c>
      <c r="G70" s="30" t="inlineStr">
        <is>
          <t>VI</t>
        </is>
      </c>
      <c r="H70" s="30" t="n"/>
      <c r="I70" s="30" t="n"/>
      <c r="J70" s="30" t="inlineStr">
        <is>
          <t>neonato</t>
        </is>
      </c>
      <c r="K70" s="31" t="n">
        <v>1</v>
      </c>
      <c r="L70" s="30" t="inlineStr">
        <is>
          <t>Debilitati a terra, recuperato morto</t>
        </is>
      </c>
      <c r="M70" s="30" t="inlineStr">
        <is>
          <t>morto</t>
        </is>
      </c>
      <c r="N70" s="30" t="n"/>
    </row>
    <row r="71" customFormat="1" s="21">
      <c r="A71" s="28" t="n">
        <v>45823</v>
      </c>
      <c r="B71" s="29" t="n">
        <v>0.8833333333333333</v>
      </c>
      <c r="C71" s="30" t="inlineStr">
        <is>
          <t>Pipistrellus kuhlii</t>
        </is>
      </c>
      <c r="D71" s="31" t="n"/>
      <c r="E71" s="30" t="inlineStr">
        <is>
          <t>Montegalda</t>
        </is>
      </c>
      <c r="F71" s="30" t="inlineStr">
        <is>
          <t>Montegalda</t>
        </is>
      </c>
      <c r="G71" s="30" t="inlineStr">
        <is>
          <t>VI</t>
        </is>
      </c>
      <c r="H71" s="30" t="n"/>
      <c r="I71" s="30" t="n"/>
      <c r="J71" s="30" t="inlineStr">
        <is>
          <t>neonato</t>
        </is>
      </c>
      <c r="K71" s="31" t="n">
        <v>1</v>
      </c>
      <c r="L71" s="30" t="inlineStr">
        <is>
          <t>Debilitati a terra</t>
        </is>
      </c>
      <c r="M71" s="30" t="inlineStr">
        <is>
          <t>liberato</t>
        </is>
      </c>
      <c r="N71" s="28" t="n"/>
    </row>
    <row r="72" customFormat="1" s="21">
      <c r="A72" s="28" t="n">
        <v>45823</v>
      </c>
      <c r="B72" s="29" t="n">
        <v>0.8833333333333333</v>
      </c>
      <c r="C72" s="30" t="inlineStr">
        <is>
          <t>Pipistrellus kuhlii</t>
        </is>
      </c>
      <c r="D72" s="31" t="n"/>
      <c r="E72" s="30" t="inlineStr">
        <is>
          <t>Montegalda</t>
        </is>
      </c>
      <c r="F72" s="30" t="inlineStr">
        <is>
          <t>Montegalda</t>
        </is>
      </c>
      <c r="G72" s="30" t="inlineStr">
        <is>
          <t>VI</t>
        </is>
      </c>
      <c r="H72" s="30" t="n"/>
      <c r="I72" s="30" t="n"/>
      <c r="J72" s="30" t="inlineStr">
        <is>
          <t>neonato</t>
        </is>
      </c>
      <c r="K72" s="31" t="n">
        <v>1</v>
      </c>
      <c r="L72" s="30" t="inlineStr">
        <is>
          <t>Debilitati a terra</t>
        </is>
      </c>
      <c r="M72" s="30" t="inlineStr">
        <is>
          <t>liberato</t>
        </is>
      </c>
      <c r="N72" s="28" t="n"/>
    </row>
    <row r="73" customFormat="1" s="21">
      <c r="A73" s="28" t="n">
        <v>45823</v>
      </c>
      <c r="B73" s="29" t="n">
        <v>0.8833333333333333</v>
      </c>
      <c r="C73" s="30" t="inlineStr">
        <is>
          <t>Pipistrellus kuhlii</t>
        </is>
      </c>
      <c r="D73" s="31" t="n"/>
      <c r="E73" s="30" t="inlineStr">
        <is>
          <t>Montegalda</t>
        </is>
      </c>
      <c r="F73" s="30" t="inlineStr">
        <is>
          <t>Montegalda</t>
        </is>
      </c>
      <c r="G73" s="30" t="inlineStr">
        <is>
          <t>VI</t>
        </is>
      </c>
      <c r="H73" s="30" t="n"/>
      <c r="I73" s="30" t="n"/>
      <c r="J73" s="30" t="inlineStr">
        <is>
          <t>neonato</t>
        </is>
      </c>
      <c r="K73" s="31" t="n">
        <v>1</v>
      </c>
      <c r="L73" s="30" t="inlineStr">
        <is>
          <t>Debilitati a terra</t>
        </is>
      </c>
      <c r="M73" s="30" t="inlineStr">
        <is>
          <t>liberato</t>
        </is>
      </c>
      <c r="N73" s="28" t="n"/>
    </row>
    <row r="74" customFormat="1" s="21">
      <c r="A74" s="28" t="n">
        <v>45823</v>
      </c>
      <c r="B74" s="29" t="n">
        <v>0.8833333333333333</v>
      </c>
      <c r="C74" s="30" t="inlineStr">
        <is>
          <t>Pipistrellus kuhlii</t>
        </is>
      </c>
      <c r="D74" s="31" t="n"/>
      <c r="E74" s="30" t="inlineStr">
        <is>
          <t>Montegalda</t>
        </is>
      </c>
      <c r="F74" s="30" t="inlineStr">
        <is>
          <t>Montegalda</t>
        </is>
      </c>
      <c r="G74" s="30" t="inlineStr">
        <is>
          <t>VI</t>
        </is>
      </c>
      <c r="H74" s="30" t="n"/>
      <c r="I74" s="30" t="n"/>
      <c r="J74" s="30" t="inlineStr">
        <is>
          <t>neonato</t>
        </is>
      </c>
      <c r="K74" s="31" t="n">
        <v>1</v>
      </c>
      <c r="L74" s="30" t="inlineStr">
        <is>
          <t>Debilitati a terra</t>
        </is>
      </c>
      <c r="M74" s="30" t="inlineStr">
        <is>
          <t>liberato</t>
        </is>
      </c>
      <c r="N74" s="28" t="n"/>
    </row>
    <row r="75" customFormat="1" s="21">
      <c r="A75" s="28" t="n">
        <v>45823</v>
      </c>
      <c r="B75" s="29" t="n">
        <v>0.8833333333333333</v>
      </c>
      <c r="C75" s="30" t="inlineStr">
        <is>
          <t>Pipistrellus kuhlii</t>
        </is>
      </c>
      <c r="D75" s="31" t="n"/>
      <c r="E75" s="30" t="inlineStr">
        <is>
          <t>Montegalda</t>
        </is>
      </c>
      <c r="F75" s="30" t="inlineStr">
        <is>
          <t>Montegalda</t>
        </is>
      </c>
      <c r="G75" s="30" t="inlineStr">
        <is>
          <t>VI</t>
        </is>
      </c>
      <c r="H75" s="30" t="n"/>
      <c r="I75" s="30" t="n"/>
      <c r="J75" s="30" t="inlineStr">
        <is>
          <t>neonato</t>
        </is>
      </c>
      <c r="K75" s="31" t="n">
        <v>1</v>
      </c>
      <c r="L75" s="30" t="inlineStr">
        <is>
          <t>Debilitati a terra</t>
        </is>
      </c>
      <c r="M75" s="30" t="inlineStr">
        <is>
          <t>liberato</t>
        </is>
      </c>
      <c r="N75" s="28" t="n"/>
    </row>
    <row r="76" customFormat="1" s="21">
      <c r="A76" s="28" t="n">
        <v>45823</v>
      </c>
      <c r="B76" s="29" t="n">
        <v>0.8833333333333333</v>
      </c>
      <c r="C76" s="30" t="inlineStr">
        <is>
          <t>Pipistrellus kuhlii</t>
        </is>
      </c>
      <c r="D76" s="31" t="n"/>
      <c r="E76" s="30" t="inlineStr">
        <is>
          <t>Montegalda</t>
        </is>
      </c>
      <c r="F76" s="30" t="inlineStr">
        <is>
          <t>Montegalda</t>
        </is>
      </c>
      <c r="G76" s="30" t="inlineStr">
        <is>
          <t>VI</t>
        </is>
      </c>
      <c r="H76" s="30" t="n"/>
      <c r="I76" s="30" t="n"/>
      <c r="J76" s="30" t="inlineStr">
        <is>
          <t>neonato</t>
        </is>
      </c>
      <c r="K76" s="31" t="n">
        <v>1</v>
      </c>
      <c r="L76" s="30" t="inlineStr">
        <is>
          <t>Debilitati a terra</t>
        </is>
      </c>
      <c r="M76" s="30" t="inlineStr">
        <is>
          <t>liberato</t>
        </is>
      </c>
      <c r="N76" s="28" t="n"/>
    </row>
    <row r="77" customFormat="1" s="21">
      <c r="A77" s="28" t="n">
        <v>45824</v>
      </c>
      <c r="B77" s="29" t="n">
        <v>0.3666666666666666</v>
      </c>
      <c r="C77" s="30" t="inlineStr">
        <is>
          <t>Pipistrellus sp.</t>
        </is>
      </c>
      <c r="D77" s="31" t="n"/>
      <c r="E77" s="30" t="inlineStr">
        <is>
          <t>Via Pazzana 1</t>
        </is>
      </c>
      <c r="F77" s="30" t="inlineStr">
        <is>
          <t>Mestre</t>
        </is>
      </c>
      <c r="G77" s="30" t="inlineStr">
        <is>
          <t>VE</t>
        </is>
      </c>
      <c r="H77" s="30" t="n"/>
      <c r="I77" s="30" t="n"/>
      <c r="J77" s="30" t="inlineStr">
        <is>
          <t>neonato</t>
        </is>
      </c>
      <c r="K77" s="31" t="n">
        <v>1</v>
      </c>
      <c r="L77" s="30" t="inlineStr">
        <is>
          <t>Piccolo magro e debilitato</t>
        </is>
      </c>
      <c r="M77" s="30" t="inlineStr">
        <is>
          <t>liberato</t>
        </is>
      </c>
      <c r="N77" s="28" t="n"/>
    </row>
    <row r="78" customFormat="1" s="21">
      <c r="A78" s="28" t="n">
        <v>45824</v>
      </c>
      <c r="B78" s="29" t="n">
        <v>0.4590277777777778</v>
      </c>
      <c r="C78" s="30" t="inlineStr">
        <is>
          <t>Pipistrellus sp.</t>
        </is>
      </c>
      <c r="D78" s="31" t="n"/>
      <c r="E78" s="30" t="inlineStr">
        <is>
          <t>Zona Arcella</t>
        </is>
      </c>
      <c r="F78" s="30" t="inlineStr">
        <is>
          <t>Padova</t>
        </is>
      </c>
      <c r="G78" s="30" t="inlineStr">
        <is>
          <t>PD</t>
        </is>
      </c>
      <c r="H78" s="30" t="n"/>
      <c r="I78" s="30" t="n"/>
      <c r="J78" s="30" t="inlineStr">
        <is>
          <t>neonato</t>
        </is>
      </c>
      <c r="K78" s="31" t="n">
        <v>1</v>
      </c>
      <c r="L78" s="30" t="inlineStr">
        <is>
          <t xml:space="preserve">Piccolo molto magro </t>
        </is>
      </c>
      <c r="M78" s="30" t="inlineStr">
        <is>
          <t>liberato</t>
        </is>
      </c>
      <c r="N78" s="28" t="n"/>
    </row>
    <row r="79" ht="30" customFormat="1" customHeight="1" s="21">
      <c r="A79" s="28" t="n">
        <v>45824</v>
      </c>
      <c r="B79" s="29" t="n">
        <v>0.5048611111111111</v>
      </c>
      <c r="C79" s="30" t="inlineStr">
        <is>
          <t>Pipistrellus sp.</t>
        </is>
      </c>
      <c r="D79" s="31" t="n"/>
      <c r="E79" s="30" t="inlineStr">
        <is>
          <t>Villanova di Camposampiero</t>
        </is>
      </c>
      <c r="F79" s="30" t="inlineStr">
        <is>
          <t>Padova</t>
        </is>
      </c>
      <c r="G79" s="30" t="inlineStr">
        <is>
          <t>PD</t>
        </is>
      </c>
      <c r="H79" s="30" t="n"/>
      <c r="I79" s="30" t="n"/>
      <c r="J79" s="30" t="inlineStr">
        <is>
          <t>neonato</t>
        </is>
      </c>
      <c r="K79" s="31" t="n">
        <v>1</v>
      </c>
      <c r="L79" s="30" t="inlineStr">
        <is>
          <t>Piccolo recuperato dalla madre</t>
        </is>
      </c>
      <c r="M79" s="30" t="inlineStr">
        <is>
          <t>recuperato da madre</t>
        </is>
      </c>
      <c r="N79" s="30" t="n">
        <v>1</v>
      </c>
    </row>
    <row r="80" ht="30" customFormat="1" customHeight="1" s="21">
      <c r="A80" s="28" t="n">
        <v>45824</v>
      </c>
      <c r="B80" s="29" t="n">
        <v>0.5048611111111111</v>
      </c>
      <c r="C80" s="30" t="inlineStr">
        <is>
          <t>Pipistrellus sp.</t>
        </is>
      </c>
      <c r="D80" s="31" t="n"/>
      <c r="E80" s="30" t="inlineStr">
        <is>
          <t>Villanova di Camposampiero</t>
        </is>
      </c>
      <c r="F80" s="30" t="inlineStr">
        <is>
          <t>Padova</t>
        </is>
      </c>
      <c r="G80" s="30" t="inlineStr">
        <is>
          <t>PD</t>
        </is>
      </c>
      <c r="H80" s="30" t="n"/>
      <c r="I80" s="30" t="n"/>
      <c r="J80" s="30" t="inlineStr">
        <is>
          <t>neonato</t>
        </is>
      </c>
      <c r="K80" s="31" t="n">
        <v>1</v>
      </c>
      <c r="L80" s="30" t="inlineStr">
        <is>
          <t>Piccolo non recuperato dalla madre</t>
        </is>
      </c>
      <c r="M80" s="30" t="inlineStr">
        <is>
          <t>liberato</t>
        </is>
      </c>
      <c r="N80" s="28" t="n"/>
    </row>
    <row r="81" customFormat="1" s="21">
      <c r="A81" s="28" t="n">
        <v>45824</v>
      </c>
      <c r="B81" s="29" t="n">
        <v>0.5611111111111111</v>
      </c>
      <c r="C81" s="30" t="inlineStr">
        <is>
          <t>Pipistrellus sp.</t>
        </is>
      </c>
      <c r="D81" s="31" t="n"/>
      <c r="E81" s="30" t="inlineStr">
        <is>
          <t>Via Pepe 10</t>
        </is>
      </c>
      <c r="F81" s="30" t="inlineStr">
        <is>
          <t>Povolaro di Dueville</t>
        </is>
      </c>
      <c r="G81" s="30" t="inlineStr">
        <is>
          <t>VI</t>
        </is>
      </c>
      <c r="H81" s="30" t="n"/>
      <c r="I81" s="30" t="n"/>
      <c r="J81" s="30" t="inlineStr">
        <is>
          <t>neonato</t>
        </is>
      </c>
      <c r="K81" s="31" t="n">
        <v>1</v>
      </c>
      <c r="L81" s="30" t="inlineStr">
        <is>
          <t>forse ferito, molto magro</t>
        </is>
      </c>
      <c r="M81" s="30" t="inlineStr">
        <is>
          <t>morto</t>
        </is>
      </c>
      <c r="N81" s="30" t="n"/>
    </row>
    <row r="82" ht="30" customFormat="1" customHeight="1" s="21">
      <c r="A82" s="28" t="n">
        <v>45824</v>
      </c>
      <c r="B82" s="29" t="n">
        <v>0.7416666666666667</v>
      </c>
      <c r="C82" s="30" t="inlineStr">
        <is>
          <t>Pipistrellus sp.</t>
        </is>
      </c>
      <c r="D82" s="31" t="n"/>
      <c r="E82" s="30" t="inlineStr">
        <is>
          <t>Breganze</t>
        </is>
      </c>
      <c r="F82" s="30" t="inlineStr">
        <is>
          <t>Vicenza</t>
        </is>
      </c>
      <c r="G82" s="30" t="inlineStr">
        <is>
          <t>VI</t>
        </is>
      </c>
      <c r="H82" s="30" t="n"/>
      <c r="I82" s="30" t="n"/>
      <c r="J82" s="30" t="inlineStr">
        <is>
          <t>neonato</t>
        </is>
      </c>
      <c r="K82" s="31" t="n">
        <v>1</v>
      </c>
      <c r="L82" s="30" t="inlineStr">
        <is>
          <t>Recuperato dalla madre</t>
        </is>
      </c>
      <c r="M82" s="30" t="inlineStr">
        <is>
          <t>recuperato da madre</t>
        </is>
      </c>
      <c r="N82" s="30" t="n">
        <v>1</v>
      </c>
    </row>
    <row r="83" customFormat="1" s="21">
      <c r="A83" s="28" t="n">
        <v>45824</v>
      </c>
      <c r="B83" s="29" t="n">
        <v>0.3125</v>
      </c>
      <c r="C83" s="30" t="inlineStr">
        <is>
          <t>Pipistrellus sp.</t>
        </is>
      </c>
      <c r="D83" s="31" t="n"/>
      <c r="E83" s="30" t="inlineStr">
        <is>
          <t>Torreglia</t>
        </is>
      </c>
      <c r="F83" s="30" t="inlineStr">
        <is>
          <t>Padova</t>
        </is>
      </c>
      <c r="G83" s="30" t="inlineStr">
        <is>
          <t>PD</t>
        </is>
      </c>
      <c r="H83" s="30" t="n"/>
      <c r="I83" s="30" t="n"/>
      <c r="J83" s="30" t="inlineStr">
        <is>
          <t>neonato</t>
        </is>
      </c>
      <c r="K83" s="31" t="n">
        <v>1</v>
      </c>
      <c r="L83" s="30" t="inlineStr">
        <is>
          <t>Neotato, fallito il ricongiungimento con la madre</t>
        </is>
      </c>
      <c r="M83" s="30" t="inlineStr">
        <is>
          <t>liberato</t>
        </is>
      </c>
      <c r="N83" s="28" t="n"/>
    </row>
    <row r="84" customFormat="1" s="21">
      <c r="A84" s="28" t="n">
        <v>45825</v>
      </c>
      <c r="B84" s="29" t="n">
        <v>0.4694444444444444</v>
      </c>
      <c r="C84" s="30" t="inlineStr">
        <is>
          <t>Pipistrellus sp.</t>
        </is>
      </c>
      <c r="D84" s="31" t="n"/>
      <c r="E84" s="30" t="inlineStr">
        <is>
          <t>Altopiano di Asiago</t>
        </is>
      </c>
      <c r="F84" s="30" t="inlineStr">
        <is>
          <t>Altopiano di Asiago</t>
        </is>
      </c>
      <c r="G84" s="30" t="inlineStr">
        <is>
          <t>VI</t>
        </is>
      </c>
      <c r="H84" s="30" t="n"/>
      <c r="I84" s="30" t="n"/>
      <c r="J84" s="30" t="inlineStr">
        <is>
          <t>adulto</t>
        </is>
      </c>
      <c r="K84" s="31" t="n">
        <v>1</v>
      </c>
      <c r="L84" s="30" t="inlineStr">
        <is>
          <t>Ferito, predato da gatto</t>
        </is>
      </c>
      <c r="M84" s="30" t="inlineStr">
        <is>
          <t>morto</t>
        </is>
      </c>
      <c r="N84" s="30" t="n"/>
    </row>
    <row r="85" customFormat="1" s="21">
      <c r="A85" s="28" t="n">
        <v>45825</v>
      </c>
      <c r="B85" s="29" t="n">
        <v>0.6236111111111111</v>
      </c>
      <c r="C85" s="30" t="inlineStr">
        <is>
          <t>Pipistrellus sp.</t>
        </is>
      </c>
      <c r="D85" s="31" t="n"/>
      <c r="E85" s="30" t="inlineStr">
        <is>
          <t>Via delle industrie 2/c</t>
        </is>
      </c>
      <c r="F85" s="30" t="inlineStr">
        <is>
          <t>Venezia</t>
        </is>
      </c>
      <c r="G85" s="30" t="inlineStr">
        <is>
          <t>VE</t>
        </is>
      </c>
      <c r="H85" s="30" t="n"/>
      <c r="I85" s="30" t="n"/>
      <c r="J85" s="30" t="inlineStr">
        <is>
          <t>adulto</t>
        </is>
      </c>
      <c r="K85" s="31" t="n">
        <v>1</v>
      </c>
      <c r="L85" s="30" t="inlineStr">
        <is>
          <t>Magro e debilitato</t>
        </is>
      </c>
      <c r="M85" s="30" t="inlineStr">
        <is>
          <t>liberato</t>
        </is>
      </c>
      <c r="N85" s="30" t="n"/>
    </row>
    <row r="86" customFormat="1" s="21">
      <c r="A86" s="28" t="n">
        <v>45825</v>
      </c>
      <c r="B86" s="29" t="n">
        <v>0.7701388888888889</v>
      </c>
      <c r="C86" s="30" t="inlineStr">
        <is>
          <t>Pipistrellus sp.</t>
        </is>
      </c>
      <c r="D86" s="31" t="n"/>
      <c r="E86" s="30" t="inlineStr">
        <is>
          <t>Bassano del Grappa</t>
        </is>
      </c>
      <c r="F86" s="30" t="inlineStr">
        <is>
          <t>Bassano del Grappa</t>
        </is>
      </c>
      <c r="G86" s="30" t="inlineStr">
        <is>
          <t>VI</t>
        </is>
      </c>
      <c r="H86" s="30" t="n"/>
      <c r="I86" s="30" t="n"/>
      <c r="J86" s="30" t="inlineStr">
        <is>
          <t>neonato</t>
        </is>
      </c>
      <c r="K86" s="31" t="n">
        <v>1</v>
      </c>
      <c r="L86" s="30" t="inlineStr">
        <is>
          <t>trovato su un marciapiede</t>
        </is>
      </c>
      <c r="M86" s="30" t="inlineStr">
        <is>
          <t>liberato</t>
        </is>
      </c>
      <c r="N86" s="30" t="n"/>
    </row>
    <row r="87" customFormat="1" s="21">
      <c r="A87" s="28" t="n">
        <v>45825</v>
      </c>
      <c r="B87" s="29" t="n">
        <v>0.78125</v>
      </c>
      <c r="C87" s="30" t="inlineStr">
        <is>
          <t>Pipistrellus sp.</t>
        </is>
      </c>
      <c r="D87" s="31" t="n"/>
      <c r="E87" s="30" t="inlineStr">
        <is>
          <t>Cassola</t>
        </is>
      </c>
      <c r="F87" s="30" t="inlineStr">
        <is>
          <t>Vicenza</t>
        </is>
      </c>
      <c r="G87" s="30" t="inlineStr">
        <is>
          <t>VI</t>
        </is>
      </c>
      <c r="H87" s="30" t="n"/>
      <c r="I87" s="30" t="n"/>
      <c r="J87" s="30" t="inlineStr">
        <is>
          <t>neonato</t>
        </is>
      </c>
      <c r="K87" s="31" t="n">
        <v>1</v>
      </c>
      <c r="L87" s="30" t="inlineStr">
        <is>
          <t>Trovato sul luogo di lavoro e portato a casa</t>
        </is>
      </c>
      <c r="M87" s="30" t="inlineStr">
        <is>
          <t>liberato</t>
        </is>
      </c>
      <c r="N87" s="30" t="n"/>
    </row>
    <row r="88" customFormat="1" s="21">
      <c r="A88" s="28" t="n">
        <v>45826</v>
      </c>
      <c r="B88" s="29" t="n">
        <v>0.3881944444444445</v>
      </c>
      <c r="C88" s="30" t="inlineStr">
        <is>
          <t>Pipistrellus sp.</t>
        </is>
      </c>
      <c r="D88" s="31" t="n"/>
      <c r="E88" s="30" t="inlineStr">
        <is>
          <t>Santa Maria Di Sala</t>
        </is>
      </c>
      <c r="F88" s="30" t="inlineStr">
        <is>
          <t>Venezia</t>
        </is>
      </c>
      <c r="G88" s="30" t="inlineStr">
        <is>
          <t>VE</t>
        </is>
      </c>
      <c r="H88" s="30" t="n"/>
      <c r="I88" s="30" t="n"/>
      <c r="J88" s="30" t="inlineStr">
        <is>
          <t>neonato</t>
        </is>
      </c>
      <c r="K88" s="31" t="n">
        <v>1</v>
      </c>
      <c r="L88" s="30" t="inlineStr">
        <is>
          <t>Piccolo fallito ricongiungimento con la madre</t>
        </is>
      </c>
      <c r="M88" s="30" t="inlineStr">
        <is>
          <t>liberato</t>
        </is>
      </c>
      <c r="N88" s="30" t="n"/>
    </row>
    <row r="89" customFormat="1" s="21">
      <c r="A89" s="28" t="n">
        <v>45826</v>
      </c>
      <c r="B89" s="29" t="n">
        <v>0.4006944444444445</v>
      </c>
      <c r="C89" s="30" t="inlineStr">
        <is>
          <t>Pipistrellus sp.</t>
        </is>
      </c>
      <c r="D89" s="31" t="n"/>
      <c r="E89" s="30" t="inlineStr">
        <is>
          <t>Cinto Euganeo</t>
        </is>
      </c>
      <c r="F89" s="30" t="inlineStr">
        <is>
          <t>Padova</t>
        </is>
      </c>
      <c r="G89" s="30" t="inlineStr">
        <is>
          <t>PD</t>
        </is>
      </c>
      <c r="H89" s="30" t="n"/>
      <c r="I89" s="30" t="n"/>
      <c r="J89" s="30" t="inlineStr">
        <is>
          <t>neonato</t>
        </is>
      </c>
      <c r="K89" s="31" t="n">
        <v>1</v>
      </c>
      <c r="L89" s="30" t="inlineStr">
        <is>
          <t>(2) Piccolo fallito il ricongiungimento con la madre</t>
        </is>
      </c>
      <c r="M89" s="30" t="inlineStr">
        <is>
          <t>liberato</t>
        </is>
      </c>
      <c r="N89" s="30" t="n"/>
    </row>
    <row r="90" customFormat="1" s="21">
      <c r="A90" s="28" t="n">
        <v>45826</v>
      </c>
      <c r="B90" s="29" t="n">
        <v>0.4006944444444445</v>
      </c>
      <c r="C90" s="30" t="inlineStr">
        <is>
          <t>Pipistrellus sp.</t>
        </is>
      </c>
      <c r="D90" s="31" t="n"/>
      <c r="E90" s="30" t="inlineStr">
        <is>
          <t>Cinto Euganeo</t>
        </is>
      </c>
      <c r="F90" s="30" t="inlineStr">
        <is>
          <t>Padova</t>
        </is>
      </c>
      <c r="G90" s="30" t="inlineStr">
        <is>
          <t>PD</t>
        </is>
      </c>
      <c r="H90" s="30" t="n"/>
      <c r="I90" s="30" t="n"/>
      <c r="J90" s="30" t="inlineStr">
        <is>
          <t>neonato</t>
        </is>
      </c>
      <c r="K90" s="31" t="n">
        <v>1</v>
      </c>
      <c r="L90" s="30" t="inlineStr">
        <is>
          <t>(2) Piccolo fallito il ricongiungimento con la madre</t>
        </is>
      </c>
      <c r="M90" s="30" t="inlineStr">
        <is>
          <t>liberato</t>
        </is>
      </c>
      <c r="N90" s="30" t="n"/>
    </row>
    <row r="91" customFormat="1" s="21">
      <c r="A91" s="28" t="n">
        <v>45826</v>
      </c>
      <c r="B91" s="29" t="n">
        <v>0.4270833333333333</v>
      </c>
      <c r="C91" s="30" t="inlineStr">
        <is>
          <t>Pipistrellus sp.</t>
        </is>
      </c>
      <c r="D91" s="31" t="n"/>
      <c r="E91" s="30" t="inlineStr">
        <is>
          <t>Via Zanon</t>
        </is>
      </c>
      <c r="F91" s="30" t="inlineStr">
        <is>
          <t>Vicenza</t>
        </is>
      </c>
      <c r="G91" s="30" t="inlineStr">
        <is>
          <t>VI</t>
        </is>
      </c>
      <c r="H91" s="30" t="n"/>
      <c r="I91" s="30" t="n"/>
      <c r="J91" s="30" t="inlineStr">
        <is>
          <t>neonato</t>
        </is>
      </c>
      <c r="K91" s="31" t="n">
        <v>1</v>
      </c>
      <c r="L91" s="30" t="inlineStr">
        <is>
          <t>2 neonati, fallito recupero da parte della madre</t>
        </is>
      </c>
      <c r="M91" s="30" t="inlineStr">
        <is>
          <t>liberato</t>
        </is>
      </c>
      <c r="N91" s="30" t="n"/>
    </row>
    <row r="92" customFormat="1" s="21">
      <c r="A92" s="28" t="n">
        <v>45826</v>
      </c>
      <c r="B92" s="29" t="n">
        <v>0.4270833333333333</v>
      </c>
      <c r="C92" s="30" t="inlineStr">
        <is>
          <t>Pipistrellus sp.</t>
        </is>
      </c>
      <c r="D92" s="31" t="n"/>
      <c r="E92" s="30" t="inlineStr">
        <is>
          <t>Via Zanon</t>
        </is>
      </c>
      <c r="F92" s="30" t="inlineStr">
        <is>
          <t>Vicenza</t>
        </is>
      </c>
      <c r="G92" s="30" t="inlineStr">
        <is>
          <t>VI</t>
        </is>
      </c>
      <c r="H92" s="30" t="n"/>
      <c r="I92" s="30" t="n"/>
      <c r="J92" s="30" t="inlineStr">
        <is>
          <t>neonato</t>
        </is>
      </c>
      <c r="K92" s="31" t="n">
        <v>1</v>
      </c>
      <c r="L92" s="30" t="inlineStr">
        <is>
          <t>2 neonati, fallito recupero da parte della madre</t>
        </is>
      </c>
      <c r="M92" s="30" t="inlineStr">
        <is>
          <t>liberato</t>
        </is>
      </c>
      <c r="N92" s="30" t="n"/>
    </row>
    <row r="93" customFormat="1" s="21">
      <c r="A93" s="28" t="n">
        <v>45826</v>
      </c>
      <c r="B93" s="29" t="n">
        <v>0.7215277777777778</v>
      </c>
      <c r="C93" s="30" t="inlineStr">
        <is>
          <t>Pipistrellus sp.</t>
        </is>
      </c>
      <c r="D93" s="31" t="n"/>
      <c r="E93" s="30" t="inlineStr">
        <is>
          <t>Centro Vicenza</t>
        </is>
      </c>
      <c r="F93" s="30" t="inlineStr">
        <is>
          <t>Vicenza</t>
        </is>
      </c>
      <c r="G93" s="30" t="inlineStr">
        <is>
          <t>VI</t>
        </is>
      </c>
      <c r="H93" s="30" t="n"/>
      <c r="I93" s="30" t="n"/>
      <c r="J93" s="30" t="inlineStr">
        <is>
          <t>adulto</t>
        </is>
      </c>
      <c r="K93" s="31" t="n">
        <v>1</v>
      </c>
      <c r="L93" s="30" t="inlineStr">
        <is>
          <t>Ferito, molto magro e debilitato</t>
        </is>
      </c>
      <c r="M93" s="30" t="inlineStr">
        <is>
          <t>morto</t>
        </is>
      </c>
      <c r="N93" s="30" t="n"/>
    </row>
    <row r="94" ht="30" customFormat="1" customHeight="1" s="21">
      <c r="A94" s="28" t="n">
        <v>45827</v>
      </c>
      <c r="B94" s="29" t="n">
        <v>0.3451388888888889</v>
      </c>
      <c r="C94" s="30" t="inlineStr">
        <is>
          <t>Pipistrellus sp.</t>
        </is>
      </c>
      <c r="D94" s="31" t="n"/>
      <c r="E94" s="30" t="inlineStr">
        <is>
          <t>San Martino Di Lupari Via Pascoli 16</t>
        </is>
      </c>
      <c r="F94" s="30" t="inlineStr">
        <is>
          <t>Padova</t>
        </is>
      </c>
      <c r="G94" s="30" t="inlineStr">
        <is>
          <t>PD</t>
        </is>
      </c>
      <c r="H94" s="30" t="n"/>
      <c r="I94" s="30" t="n"/>
      <c r="J94" s="30" t="inlineStr">
        <is>
          <t>neonato</t>
        </is>
      </c>
      <c r="K94" s="31" t="n">
        <v>1</v>
      </c>
      <c r="L94" s="30" t="inlineStr">
        <is>
          <t>Piccolo fallito ricongiungimento con la madre</t>
        </is>
      </c>
      <c r="M94" s="30" t="inlineStr">
        <is>
          <t>liberato</t>
        </is>
      </c>
      <c r="N94" s="30" t="n"/>
    </row>
    <row r="95" customFormat="1" s="21">
      <c r="A95" s="28" t="n">
        <v>45827</v>
      </c>
      <c r="B95" s="29" t="n">
        <v>0.3805555555555555</v>
      </c>
      <c r="C95" s="30" t="inlineStr">
        <is>
          <t>Pipistrellus kuhlii</t>
        </is>
      </c>
      <c r="D95" s="31" t="n"/>
      <c r="E95" s="30" t="inlineStr">
        <is>
          <t>Via Meldelssohn 2/B</t>
        </is>
      </c>
      <c r="F95" s="30" t="inlineStr">
        <is>
          <t>Padova</t>
        </is>
      </c>
      <c r="G95" s="30" t="inlineStr">
        <is>
          <t>PD</t>
        </is>
      </c>
      <c r="H95" s="30" t="n"/>
      <c r="I95" s="30" t="n"/>
      <c r="J95" s="30" t="inlineStr">
        <is>
          <t>neonato</t>
        </is>
      </c>
      <c r="K95" s="31" t="n">
        <v>1</v>
      </c>
      <c r="L95" s="30" t="inlineStr">
        <is>
          <t>Piccolo, fallito ricongiungimento con la madre</t>
        </is>
      </c>
      <c r="M95" s="30" t="inlineStr">
        <is>
          <t>liberato</t>
        </is>
      </c>
      <c r="N95" s="30" t="n"/>
    </row>
    <row r="96" customFormat="1" s="21">
      <c r="A96" s="28" t="n">
        <v>45827</v>
      </c>
      <c r="B96" s="29" t="n">
        <v>0.4979166666666667</v>
      </c>
      <c r="C96" s="30" t="inlineStr">
        <is>
          <t>Pipistrellus kuhlii</t>
        </is>
      </c>
      <c r="D96" s="31" t="n"/>
      <c r="E96" s="30" t="inlineStr">
        <is>
          <t>Pianiga</t>
        </is>
      </c>
      <c r="F96" s="30" t="inlineStr">
        <is>
          <t>Venezia</t>
        </is>
      </c>
      <c r="G96" s="30" t="inlineStr">
        <is>
          <t>VE</t>
        </is>
      </c>
      <c r="H96" s="30" t="n"/>
      <c r="I96" s="30" t="n"/>
      <c r="J96" s="30" t="inlineStr">
        <is>
          <t>neonato</t>
        </is>
      </c>
      <c r="K96" s="31" t="n">
        <v>1</v>
      </c>
      <c r="L96" s="30" t="inlineStr">
        <is>
          <t>Piccolo fallito ricongiungimento con la madre</t>
        </is>
      </c>
      <c r="M96" s="30" t="inlineStr">
        <is>
          <t>liberato</t>
        </is>
      </c>
      <c r="N96" s="30" t="n"/>
    </row>
    <row r="97" customFormat="1" s="21">
      <c r="A97" s="28" t="n">
        <v>45827</v>
      </c>
      <c r="B97" s="29" t="n">
        <v>0.5854166666666667</v>
      </c>
      <c r="C97" s="30" t="inlineStr">
        <is>
          <t>Hypsugo savii</t>
        </is>
      </c>
      <c r="D97" s="31" t="n"/>
      <c r="E97" s="30" t="inlineStr">
        <is>
          <t>Via San Lazzaro 41</t>
        </is>
      </c>
      <c r="F97" s="30" t="inlineStr">
        <is>
          <t>Vicenza</t>
        </is>
      </c>
      <c r="G97" s="30" t="inlineStr">
        <is>
          <t>VI</t>
        </is>
      </c>
      <c r="H97" s="30" t="n"/>
      <c r="I97" s="30" t="n"/>
      <c r="J97" s="30" t="inlineStr">
        <is>
          <t>neonato</t>
        </is>
      </c>
      <c r="K97" s="31" t="n">
        <v>1</v>
      </c>
      <c r="L97" s="30" t="inlineStr">
        <is>
          <t>2 piccoli, fallito recupero da parte della madre</t>
        </is>
      </c>
      <c r="M97" s="30" t="inlineStr">
        <is>
          <t>liberato</t>
        </is>
      </c>
      <c r="N97" s="30" t="n"/>
    </row>
    <row r="98" customFormat="1" s="21">
      <c r="A98" s="28" t="n">
        <v>45827</v>
      </c>
      <c r="B98" s="29" t="n">
        <v>0.5854166666666667</v>
      </c>
      <c r="C98" s="30" t="inlineStr">
        <is>
          <t>Hypsugo savii</t>
        </is>
      </c>
      <c r="D98" s="31" t="n"/>
      <c r="E98" s="30" t="inlineStr">
        <is>
          <t>Via San Lazzaro 41</t>
        </is>
      </c>
      <c r="F98" s="30" t="inlineStr">
        <is>
          <t>Vicenza</t>
        </is>
      </c>
      <c r="G98" s="30" t="inlineStr">
        <is>
          <t>VI</t>
        </is>
      </c>
      <c r="H98" s="30" t="n"/>
      <c r="I98" s="30" t="n"/>
      <c r="J98" s="30" t="inlineStr">
        <is>
          <t>neonato</t>
        </is>
      </c>
      <c r="K98" s="31" t="n">
        <v>1</v>
      </c>
      <c r="L98" s="30" t="inlineStr">
        <is>
          <t>2 piccoli, fallito recupero da parte della madre</t>
        </is>
      </c>
      <c r="M98" s="30" t="inlineStr">
        <is>
          <t>liberato</t>
        </is>
      </c>
      <c r="N98" s="30" t="n"/>
    </row>
    <row r="99" customFormat="1" s="21">
      <c r="A99" s="28" t="n">
        <v>45827</v>
      </c>
      <c r="B99" s="29" t="n">
        <v>0.6826388888888889</v>
      </c>
      <c r="C99" s="30" t="inlineStr">
        <is>
          <t>Pipistrellus sp.</t>
        </is>
      </c>
      <c r="D99" s="31" t="n"/>
      <c r="E99" s="30" t="inlineStr">
        <is>
          <t>Ambulatorio S. Cecilia</t>
        </is>
      </c>
      <c r="F99" s="30" t="inlineStr">
        <is>
          <t>Vicenza</t>
        </is>
      </c>
      <c r="G99" s="30" t="inlineStr">
        <is>
          <t>VI</t>
        </is>
      </c>
      <c r="H99" s="30" t="n"/>
      <c r="I99" s="30" t="n"/>
      <c r="J99" s="30" t="inlineStr">
        <is>
          <t>neonato</t>
        </is>
      </c>
      <c r="K99" s="31" t="n">
        <v>1</v>
      </c>
      <c r="L99" s="30" t="inlineStr">
        <is>
          <t>Debilitato</t>
        </is>
      </c>
      <c r="M99" s="30" t="inlineStr">
        <is>
          <t>liberato</t>
        </is>
      </c>
      <c r="N99" s="30" t="n"/>
    </row>
    <row r="100" ht="30" customFormat="1" customHeight="1" s="21">
      <c r="A100" s="28" t="n">
        <v>45828</v>
      </c>
      <c r="B100" s="29" t="n">
        <v>0.4</v>
      </c>
      <c r="C100" s="30" t="inlineStr">
        <is>
          <t>Pipistrellus sp.</t>
        </is>
      </c>
      <c r="D100" s="31" t="n"/>
      <c r="E100" s="30" t="inlineStr">
        <is>
          <t>Contrada Valdicase 11</t>
        </is>
      </c>
      <c r="F100" s="30" t="inlineStr">
        <is>
          <t>Valle di Castelgomberto</t>
        </is>
      </c>
      <c r="G100" s="30" t="n"/>
      <c r="H100" s="30" t="n"/>
      <c r="I100" s="30" t="n"/>
      <c r="J100" s="30" t="inlineStr">
        <is>
          <t>neonato</t>
        </is>
      </c>
      <c r="K100" s="31" t="n">
        <v>1</v>
      </c>
      <c r="L100" s="30" t="inlineStr">
        <is>
          <t>Fallito recupero da parte della madre</t>
        </is>
      </c>
      <c r="M100" s="30" t="inlineStr">
        <is>
          <t>liberato</t>
        </is>
      </c>
      <c r="N100" s="30" t="n"/>
    </row>
    <row r="101" customFormat="1" s="21">
      <c r="A101" s="28" t="n">
        <v>45828</v>
      </c>
      <c r="B101" s="29" t="n">
        <v>0.4298611111111111</v>
      </c>
      <c r="C101" s="30" t="inlineStr">
        <is>
          <t>Pipistrellus sp.</t>
        </is>
      </c>
      <c r="D101" s="31" t="n"/>
      <c r="E101" s="30" t="inlineStr">
        <is>
          <t>Longare</t>
        </is>
      </c>
      <c r="F101" s="30" t="inlineStr">
        <is>
          <t>Vicenza</t>
        </is>
      </c>
      <c r="G101" s="30" t="inlineStr">
        <is>
          <t>VI</t>
        </is>
      </c>
      <c r="H101" s="30" t="n"/>
      <c r="I101" s="30" t="n"/>
      <c r="J101" s="30" t="inlineStr">
        <is>
          <t>neonato</t>
        </is>
      </c>
      <c r="K101" s="31" t="n">
        <v>1</v>
      </c>
      <c r="L101" s="30" t="inlineStr">
        <is>
          <t>Alimentato con latte vaccino per 4 giorni</t>
        </is>
      </c>
      <c r="M101" s="30" t="inlineStr">
        <is>
          <t>liberato</t>
        </is>
      </c>
      <c r="N101" s="30" t="n"/>
    </row>
    <row r="102" customFormat="1" s="21">
      <c r="A102" s="28" t="n">
        <v>45829</v>
      </c>
      <c r="B102" s="29" t="n">
        <v>0.4041666666666667</v>
      </c>
      <c r="C102" s="30" t="inlineStr">
        <is>
          <t>Pipistrellus sp.</t>
        </is>
      </c>
      <c r="D102" s="31" t="n"/>
      <c r="E102" s="30" t="inlineStr">
        <is>
          <t>San Vito di Leguzzano</t>
        </is>
      </c>
      <c r="F102" s="30" t="inlineStr">
        <is>
          <t>San Vito di Leguzzano</t>
        </is>
      </c>
      <c r="G102" s="30" t="n"/>
      <c r="H102" s="30" t="n"/>
      <c r="I102" s="30" t="n"/>
      <c r="J102" s="30" t="inlineStr">
        <is>
          <t>neonato</t>
        </is>
      </c>
      <c r="K102" s="31" t="n">
        <v>1</v>
      </c>
      <c r="L102" s="30" t="inlineStr">
        <is>
          <t>Impossibile tentare il recupero da parte di madre per presenza di colonia di gatti</t>
        </is>
      </c>
      <c r="M102" s="30" t="inlineStr">
        <is>
          <t>liberato</t>
        </is>
      </c>
      <c r="N102" s="30" t="n"/>
    </row>
    <row r="103" customFormat="1" s="21">
      <c r="A103" s="28" t="n">
        <v>45829</v>
      </c>
      <c r="B103" s="29" t="n">
        <v>0.6027777777777777</v>
      </c>
      <c r="C103" s="30" t="inlineStr">
        <is>
          <t>Pipistrellus sp.</t>
        </is>
      </c>
      <c r="D103" s="31" t="n"/>
      <c r="E103" s="30" t="inlineStr">
        <is>
          <t>Vigonza</t>
        </is>
      </c>
      <c r="F103" s="30" t="inlineStr">
        <is>
          <t>Padova</t>
        </is>
      </c>
      <c r="G103" s="30" t="inlineStr">
        <is>
          <t>PD</t>
        </is>
      </c>
      <c r="H103" s="30" t="n"/>
      <c r="I103" s="30" t="n"/>
      <c r="J103" s="30" t="inlineStr">
        <is>
          <t>neonato</t>
        </is>
      </c>
      <c r="K103" s="31" t="n">
        <v>1</v>
      </c>
      <c r="L103" s="30" t="inlineStr">
        <is>
          <t>Piccolo magro e debilitato</t>
        </is>
      </c>
      <c r="M103" s="30" t="inlineStr">
        <is>
          <t>liberato</t>
        </is>
      </c>
      <c r="N103" s="30" t="n"/>
    </row>
    <row r="104" customFormat="1" s="21">
      <c r="A104" s="28" t="n">
        <v>45829</v>
      </c>
      <c r="B104" s="29" t="n">
        <v>0.7951388888888888</v>
      </c>
      <c r="C104" s="30" t="inlineStr">
        <is>
          <t>Pipistrellus sp.</t>
        </is>
      </c>
      <c r="D104" s="31" t="n"/>
      <c r="E104" s="30" t="inlineStr">
        <is>
          <t>Pianezze</t>
        </is>
      </c>
      <c r="F104" s="30" t="inlineStr">
        <is>
          <t>Arcugnano</t>
        </is>
      </c>
      <c r="G104" s="30" t="n"/>
      <c r="H104" s="30" t="n"/>
      <c r="I104" s="30" t="n"/>
      <c r="J104" s="30" t="inlineStr">
        <is>
          <t>neonato</t>
        </is>
      </c>
      <c r="K104" s="31" t="n">
        <v>1</v>
      </c>
      <c r="L104" s="30" t="inlineStr">
        <is>
          <t>Molto magro e debilitato</t>
        </is>
      </c>
      <c r="M104" s="30" t="inlineStr">
        <is>
          <t>morto</t>
        </is>
      </c>
      <c r="N104" s="30" t="n"/>
    </row>
    <row r="105" customFormat="1" s="21">
      <c r="A105" s="28" t="n">
        <v>45829</v>
      </c>
      <c r="B105" s="29" t="n">
        <v>0.9680555555555556</v>
      </c>
      <c r="C105" s="30" t="inlineStr">
        <is>
          <t>Pipistrellus kuhlii</t>
        </is>
      </c>
      <c r="D105" s="31" t="n"/>
      <c r="E105" s="30" t="inlineStr">
        <is>
          <t>Arzignano</t>
        </is>
      </c>
      <c r="F105" s="30" t="inlineStr">
        <is>
          <t>Arzignano</t>
        </is>
      </c>
      <c r="G105" s="30" t="inlineStr">
        <is>
          <t>VI</t>
        </is>
      </c>
      <c r="H105" s="30" t="n"/>
      <c r="I105" s="30" t="n"/>
      <c r="J105" s="30" t="inlineStr">
        <is>
          <t>neonato</t>
        </is>
      </c>
      <c r="K105" s="31" t="n">
        <v>1</v>
      </c>
      <c r="L105" s="30" t="inlineStr">
        <is>
          <t>Magro e gravemente debilitato</t>
        </is>
      </c>
      <c r="M105" s="30" t="inlineStr">
        <is>
          <t>morto</t>
        </is>
      </c>
      <c r="N105" s="30" t="n"/>
    </row>
    <row r="106" customFormat="1" s="21">
      <c r="A106" s="28" t="n">
        <v>45830</v>
      </c>
      <c r="B106" s="29" t="n">
        <v>0.5076388888888889</v>
      </c>
      <c r="C106" s="30" t="inlineStr">
        <is>
          <t>Pipistrellus kuhlii</t>
        </is>
      </c>
      <c r="D106" s="31" t="n"/>
      <c r="E106" s="30" t="inlineStr">
        <is>
          <t xml:space="preserve">Preganziol </t>
        </is>
      </c>
      <c r="F106" s="30" t="inlineStr">
        <is>
          <t>Treviso</t>
        </is>
      </c>
      <c r="G106" s="30" t="inlineStr">
        <is>
          <t>TV</t>
        </is>
      </c>
      <c r="H106" s="30" t="n"/>
      <c r="I106" s="30" t="n"/>
      <c r="J106" s="30" t="inlineStr">
        <is>
          <t>neonato</t>
        </is>
      </c>
      <c r="K106" s="31" t="n">
        <v>1</v>
      </c>
      <c r="L106" s="30" t="inlineStr">
        <is>
          <t xml:space="preserve">Piccolo debilitato </t>
        </is>
      </c>
      <c r="M106" s="30" t="inlineStr">
        <is>
          <t>liberato</t>
        </is>
      </c>
      <c r="N106" s="30" t="n"/>
    </row>
    <row r="107" customFormat="1" s="21">
      <c r="A107" s="28" t="n">
        <v>45830</v>
      </c>
      <c r="B107" s="29" t="n">
        <v>0.7395833333333334</v>
      </c>
      <c r="C107" s="30" t="inlineStr">
        <is>
          <t>Pipistrellus kuhlii</t>
        </is>
      </c>
      <c r="D107" s="31" t="n"/>
      <c r="E107" s="30" t="inlineStr">
        <is>
          <t>Via Santa Lucia 51</t>
        </is>
      </c>
      <c r="F107" s="30" t="inlineStr">
        <is>
          <t>Marano vicentino</t>
        </is>
      </c>
      <c r="G107" s="30" t="n"/>
      <c r="H107" s="30" t="n"/>
      <c r="I107" s="30" t="n"/>
      <c r="J107" s="30" t="inlineStr">
        <is>
          <t>neonato</t>
        </is>
      </c>
      <c r="K107" s="31" t="n">
        <v>1</v>
      </c>
      <c r="L107" s="30" t="inlineStr">
        <is>
          <t>3 piccooli, fallito recupero da parte della madre</t>
        </is>
      </c>
      <c r="M107" s="30" t="inlineStr">
        <is>
          <t>liberato</t>
        </is>
      </c>
      <c r="N107" s="30" t="n"/>
    </row>
    <row r="108" customFormat="1" s="21">
      <c r="A108" s="28" t="n">
        <v>45830</v>
      </c>
      <c r="B108" s="29" t="n">
        <v>0.7395833333333334</v>
      </c>
      <c r="C108" s="30" t="inlineStr">
        <is>
          <t>Pipistrellus kuhlii</t>
        </is>
      </c>
      <c r="D108" s="31" t="n"/>
      <c r="E108" s="30" t="inlineStr">
        <is>
          <t>Via Santa Lucia 51</t>
        </is>
      </c>
      <c r="F108" s="30" t="inlineStr">
        <is>
          <t>Marano vicentino</t>
        </is>
      </c>
      <c r="G108" s="30" t="n"/>
      <c r="H108" s="30" t="n"/>
      <c r="I108" s="30" t="n"/>
      <c r="J108" s="30" t="inlineStr">
        <is>
          <t>neonato</t>
        </is>
      </c>
      <c r="K108" s="31" t="n">
        <v>1</v>
      </c>
      <c r="L108" s="30" t="inlineStr">
        <is>
          <t>3 piccooli, fallito recupero da parte della madre</t>
        </is>
      </c>
      <c r="M108" s="30" t="inlineStr">
        <is>
          <t>liberato</t>
        </is>
      </c>
      <c r="N108" s="30" t="n"/>
    </row>
    <row r="109" customFormat="1" s="21">
      <c r="A109" s="28" t="n">
        <v>45830</v>
      </c>
      <c r="B109" s="29" t="n">
        <v>0.7395833333333334</v>
      </c>
      <c r="C109" s="30" t="inlineStr">
        <is>
          <t>Pipistrellus kuhlii</t>
        </is>
      </c>
      <c r="D109" s="31" t="n"/>
      <c r="E109" s="30" t="inlineStr">
        <is>
          <t>Via Santa Lucia 51</t>
        </is>
      </c>
      <c r="F109" s="30" t="inlineStr">
        <is>
          <t>Marano vicentino</t>
        </is>
      </c>
      <c r="G109" s="30" t="n"/>
      <c r="H109" s="30" t="n"/>
      <c r="I109" s="30" t="n"/>
      <c r="J109" s="30" t="inlineStr">
        <is>
          <t>neonato</t>
        </is>
      </c>
      <c r="K109" s="31" t="n">
        <v>1</v>
      </c>
      <c r="L109" s="30" t="inlineStr">
        <is>
          <t>3 piccooli, fallito recupero da parte della madre</t>
        </is>
      </c>
      <c r="M109" s="30" t="inlineStr">
        <is>
          <t>liberato</t>
        </is>
      </c>
      <c r="N109" s="30" t="n"/>
    </row>
    <row r="110" ht="30" customFormat="1" customHeight="1" s="21">
      <c r="A110" s="28" t="n">
        <v>45831</v>
      </c>
      <c r="B110" s="29" t="n">
        <v>0.3194444444444444</v>
      </c>
      <c r="C110" s="30" t="inlineStr">
        <is>
          <t>Hypsugo savii</t>
        </is>
      </c>
      <c r="D110" s="31" t="n"/>
      <c r="E110" s="30" t="inlineStr">
        <is>
          <t>Via Raccola 17, Galzignano Terme</t>
        </is>
      </c>
      <c r="F110" s="30" t="inlineStr">
        <is>
          <t>Padova</t>
        </is>
      </c>
      <c r="G110" s="30" t="inlineStr">
        <is>
          <t>PD</t>
        </is>
      </c>
      <c r="H110" s="30" t="n"/>
      <c r="I110" s="30" t="n"/>
      <c r="J110" s="30" t="inlineStr">
        <is>
          <t>neonato</t>
        </is>
      </c>
      <c r="K110" s="31" t="n">
        <v>1</v>
      </c>
      <c r="L110" s="30" t="inlineStr">
        <is>
          <t>Piccolo vicino allo svezzamento, fallito ricongiungimento con la madre</t>
        </is>
      </c>
      <c r="M110" s="30" t="inlineStr">
        <is>
          <t>liberato</t>
        </is>
      </c>
      <c r="N110" s="30" t="n"/>
    </row>
    <row r="111" customFormat="1" s="21">
      <c r="A111" s="28" t="n">
        <v>45831</v>
      </c>
      <c r="B111" s="29" t="n">
        <v>0.36875</v>
      </c>
      <c r="C111" s="30" t="inlineStr">
        <is>
          <t>Pipistrellus sp.</t>
        </is>
      </c>
      <c r="D111" s="31" t="n"/>
      <c r="E111" s="30" t="inlineStr">
        <is>
          <t>Arzignano</t>
        </is>
      </c>
      <c r="F111" s="30" t="inlineStr">
        <is>
          <t>Arzignano</t>
        </is>
      </c>
      <c r="G111" s="30" t="inlineStr">
        <is>
          <t>VI</t>
        </is>
      </c>
      <c r="H111" s="30" t="n"/>
      <c r="I111" s="30" t="n"/>
      <c r="J111" s="30" t="inlineStr">
        <is>
          <t>neonato</t>
        </is>
      </c>
      <c r="K111" s="31" t="n">
        <v>1</v>
      </c>
      <c r="L111" s="30" t="inlineStr">
        <is>
          <t>Magro e debilitato, lasciato a lungo sotto il sole</t>
        </is>
      </c>
      <c r="M111" s="30" t="inlineStr">
        <is>
          <t>morto</t>
        </is>
      </c>
      <c r="N111" s="30" t="n"/>
    </row>
    <row r="112" customFormat="1" s="21">
      <c r="A112" s="28" t="n">
        <v>45831</v>
      </c>
      <c r="B112" s="29" t="n">
        <v>0.4486111111111111</v>
      </c>
      <c r="C112" s="30" t="inlineStr">
        <is>
          <t>Pipistrellus kuhlii</t>
        </is>
      </c>
      <c r="D112" s="31" t="n"/>
      <c r="E112" s="30" t="inlineStr">
        <is>
          <t xml:space="preserve">Via Forcellini 172 </t>
        </is>
      </c>
      <c r="F112" s="30" t="inlineStr">
        <is>
          <t>Padova</t>
        </is>
      </c>
      <c r="G112" s="30" t="inlineStr">
        <is>
          <t>PD</t>
        </is>
      </c>
      <c r="H112" s="30" t="n"/>
      <c r="I112" s="30" t="n"/>
      <c r="J112" s="30" t="inlineStr">
        <is>
          <t>neonato</t>
        </is>
      </c>
      <c r="K112" s="31" t="n">
        <v>1</v>
      </c>
      <c r="L112" s="30" t="inlineStr">
        <is>
          <t>Trovato a lavoro in cucina, impossibile tentare il ricongiungimento con la madre</t>
        </is>
      </c>
      <c r="M112" s="30" t="inlineStr">
        <is>
          <t>liberato</t>
        </is>
      </c>
      <c r="N112" s="30" t="n"/>
    </row>
    <row r="113" ht="30" customFormat="1" customHeight="1" s="21">
      <c r="A113" s="28" t="n">
        <v>45831</v>
      </c>
      <c r="B113" s="29" t="n">
        <v>0.5722222222222222</v>
      </c>
      <c r="C113" s="30" t="inlineStr">
        <is>
          <t>Pipistrellus sp.</t>
        </is>
      </c>
      <c r="D113" s="31" t="n"/>
      <c r="E113" s="30" t="inlineStr">
        <is>
          <t>Via Vallazza15, Boara Pisana</t>
        </is>
      </c>
      <c r="F113" s="30" t="inlineStr">
        <is>
          <t>Padova</t>
        </is>
      </c>
      <c r="G113" s="30" t="inlineStr">
        <is>
          <t>PD</t>
        </is>
      </c>
      <c r="H113" s="30" t="n"/>
      <c r="I113" s="30" t="n"/>
      <c r="J113" s="30" t="inlineStr">
        <is>
          <t>neonato</t>
        </is>
      </c>
      <c r="K113" s="31" t="n">
        <v>1</v>
      </c>
      <c r="L113" s="30" t="inlineStr">
        <is>
          <t>Fallito ricongiungimento con la madre</t>
        </is>
      </c>
      <c r="M113" s="30" t="inlineStr">
        <is>
          <t>liberato</t>
        </is>
      </c>
      <c r="N113" s="30" t="n"/>
    </row>
    <row r="114" customFormat="1" s="21">
      <c r="A114" s="28" t="n">
        <v>45831</v>
      </c>
      <c r="B114" s="29" t="n">
        <v>0.5902777777777778</v>
      </c>
      <c r="C114" s="30" t="inlineStr">
        <is>
          <t>Hypsugo savii</t>
        </is>
      </c>
      <c r="D114" s="31" t="n"/>
      <c r="E114" s="30" t="inlineStr">
        <is>
          <t>Verona Est</t>
        </is>
      </c>
      <c r="F114" s="30" t="inlineStr">
        <is>
          <t>Verona</t>
        </is>
      </c>
      <c r="G114" s="30" t="inlineStr">
        <is>
          <t>VR</t>
        </is>
      </c>
      <c r="H114" s="30" t="n"/>
      <c r="I114" s="30" t="n"/>
      <c r="J114" s="30" t="inlineStr">
        <is>
          <t>cucciolo</t>
        </is>
      </c>
      <c r="K114" s="31" t="n">
        <v>1</v>
      </c>
      <c r="L114" s="30" t="inlineStr">
        <is>
          <t>Magro e debilitato</t>
        </is>
      </c>
      <c r="M114" s="30" t="inlineStr">
        <is>
          <t>morto</t>
        </is>
      </c>
      <c r="N114" s="30" t="n"/>
    </row>
    <row r="115" ht="30" customFormat="1" customHeight="1" s="21">
      <c r="A115" s="28" t="n">
        <v>45831</v>
      </c>
      <c r="B115" s="29" t="n">
        <v>0.8138888888888889</v>
      </c>
      <c r="C115" s="30" t="inlineStr">
        <is>
          <t>Pipistrellus sp.</t>
        </is>
      </c>
      <c r="D115" s="31" t="n"/>
      <c r="E115" s="30" t="inlineStr">
        <is>
          <t>Lendinara, scuola di ballo</t>
        </is>
      </c>
      <c r="F115" s="30" t="inlineStr">
        <is>
          <t>Rovigo</t>
        </is>
      </c>
      <c r="G115" s="30" t="inlineStr">
        <is>
          <t>RO</t>
        </is>
      </c>
      <c r="H115" s="30" t="n"/>
      <c r="I115" s="30" t="n"/>
      <c r="J115" s="30" t="inlineStr">
        <is>
          <t>neonato</t>
        </is>
      </c>
      <c r="K115" s="31" t="n">
        <v>1</v>
      </c>
      <c r="L115" s="30" t="inlineStr">
        <is>
          <t>Piccolo debilitato</t>
        </is>
      </c>
      <c r="M115" s="30" t="inlineStr">
        <is>
          <t>liberato</t>
        </is>
      </c>
      <c r="N115" s="30" t="n"/>
    </row>
    <row r="116" ht="30" customFormat="1" customHeight="1" s="21">
      <c r="A116" s="28" t="n">
        <v>45832</v>
      </c>
      <c r="B116" s="29" t="n">
        <v>0.55</v>
      </c>
      <c r="C116" s="30" t="inlineStr">
        <is>
          <t>Pipistrellus sp.</t>
        </is>
      </c>
      <c r="D116" s="31" t="n"/>
      <c r="E116" s="30" t="inlineStr">
        <is>
          <t>Autoscuola Fortin, Via Montà</t>
        </is>
      </c>
      <c r="F116" s="30" t="inlineStr">
        <is>
          <t>Padova</t>
        </is>
      </c>
      <c r="G116" s="30" t="inlineStr">
        <is>
          <t>PD</t>
        </is>
      </c>
      <c r="H116" s="30" t="n"/>
      <c r="I116" s="30" t="n"/>
      <c r="J116" s="30" t="inlineStr">
        <is>
          <t>neonato</t>
        </is>
      </c>
      <c r="K116" s="31" t="n">
        <v>1</v>
      </c>
      <c r="L116" s="30" t="inlineStr">
        <is>
          <t>Non possibile tentare il recupero da parte della madre</t>
        </is>
      </c>
      <c r="M116" s="30" t="inlineStr">
        <is>
          <t>liberato</t>
        </is>
      </c>
      <c r="N116" s="30" t="n"/>
    </row>
    <row r="117" customFormat="1" s="21">
      <c r="A117" s="28" t="n">
        <v>45833</v>
      </c>
      <c r="B117" s="29" t="n">
        <v>0.3152777777777778</v>
      </c>
      <c r="C117" s="30" t="inlineStr">
        <is>
          <t>Pipistrellus kuhlii</t>
        </is>
      </c>
      <c r="D117" s="31" t="n"/>
      <c r="E117" s="30" t="inlineStr">
        <is>
          <t>Sarcedo</t>
        </is>
      </c>
      <c r="F117" s="30" t="inlineStr">
        <is>
          <t>Vicenza</t>
        </is>
      </c>
      <c r="G117" s="30" t="inlineStr">
        <is>
          <t>VI</t>
        </is>
      </c>
      <c r="H117" s="30" t="n"/>
      <c r="I117" s="30" t="n"/>
      <c r="J117" s="30" t="inlineStr">
        <is>
          <t>neonato</t>
        </is>
      </c>
      <c r="K117" s="31" t="n">
        <v>1</v>
      </c>
      <c r="L117" s="30" t="inlineStr">
        <is>
          <t>(2) neonati, fallito recupero da parte della madre</t>
        </is>
      </c>
      <c r="M117" s="30" t="inlineStr">
        <is>
          <t>liberato</t>
        </is>
      </c>
      <c r="N117" s="30" t="n"/>
    </row>
    <row r="118" customFormat="1" s="21">
      <c r="A118" s="28" t="n">
        <v>45833</v>
      </c>
      <c r="B118" s="29" t="n">
        <v>0.3152777777777778</v>
      </c>
      <c r="C118" s="30" t="inlineStr">
        <is>
          <t>Pipistrellus kuhlii</t>
        </is>
      </c>
      <c r="D118" s="31" t="n"/>
      <c r="E118" s="30" t="inlineStr">
        <is>
          <t>Sarcedo</t>
        </is>
      </c>
      <c r="F118" s="30" t="inlineStr">
        <is>
          <t>Vicenza</t>
        </is>
      </c>
      <c r="G118" s="30" t="inlineStr">
        <is>
          <t>VI</t>
        </is>
      </c>
      <c r="H118" s="30" t="n"/>
      <c r="I118" s="30" t="n"/>
      <c r="J118" s="30" t="inlineStr">
        <is>
          <t>neonato</t>
        </is>
      </c>
      <c r="K118" s="31" t="n">
        <v>1</v>
      </c>
      <c r="L118" s="30" t="inlineStr">
        <is>
          <t>Neonati, fallito recupero da parte della madre</t>
        </is>
      </c>
      <c r="M118" s="30" t="inlineStr">
        <is>
          <t>liberato</t>
        </is>
      </c>
      <c r="N118" s="30" t="n"/>
    </row>
    <row r="119" ht="30" customFormat="1" customHeight="1" s="21">
      <c r="A119" s="28" t="n">
        <v>45833</v>
      </c>
      <c r="B119" s="29" t="n">
        <v>0.3347222222222222</v>
      </c>
      <c r="C119" s="30" t="inlineStr">
        <is>
          <t>Pipistrellus sp.</t>
        </is>
      </c>
      <c r="D119" s="31" t="n"/>
      <c r="E119" s="30" t="inlineStr">
        <is>
          <t>Villanova di Camposampiero</t>
        </is>
      </c>
      <c r="F119" s="30" t="inlineStr">
        <is>
          <t>Padova</t>
        </is>
      </c>
      <c r="G119" s="30" t="inlineStr">
        <is>
          <t>PD</t>
        </is>
      </c>
      <c r="H119" s="30" t="n"/>
      <c r="I119" s="30" t="n"/>
      <c r="J119" s="30" t="inlineStr">
        <is>
          <t>cucciolo</t>
        </is>
      </c>
      <c r="K119" s="31" t="n">
        <v>1</v>
      </c>
      <c r="L119" s="30" t="inlineStr">
        <is>
          <t>Piccolo vicino allo svezzamente, fallito il ricongiungimento con la madre</t>
        </is>
      </c>
      <c r="M119" s="30" t="inlineStr">
        <is>
          <t>liberato</t>
        </is>
      </c>
      <c r="N119" s="30" t="n"/>
    </row>
    <row r="120" customFormat="1" s="21">
      <c r="A120" s="28" t="n">
        <v>45833</v>
      </c>
      <c r="B120" s="29" t="n">
        <v>0.4166666666666667</v>
      </c>
      <c r="C120" s="30" t="inlineStr">
        <is>
          <t>Pipistrellus sp.</t>
        </is>
      </c>
      <c r="D120" s="31" t="n"/>
      <c r="E120" s="30" t="inlineStr">
        <is>
          <t>Carmignano di Brenta</t>
        </is>
      </c>
      <c r="F120" s="30" t="inlineStr">
        <is>
          <t>Padova</t>
        </is>
      </c>
      <c r="G120" s="30" t="inlineStr">
        <is>
          <t>PD</t>
        </is>
      </c>
      <c r="H120" s="30" t="n"/>
      <c r="I120" s="30" t="n"/>
      <c r="J120" s="30" t="inlineStr">
        <is>
          <t>neonato</t>
        </is>
      </c>
      <c r="K120" s="31" t="n">
        <v>1</v>
      </c>
      <c r="L120" s="30" t="inlineStr">
        <is>
          <t>Piccolo magro e debilitato</t>
        </is>
      </c>
      <c r="M120" s="30" t="inlineStr">
        <is>
          <t>liberato</t>
        </is>
      </c>
      <c r="N120" s="30" t="n"/>
    </row>
    <row r="121" customFormat="1" s="21">
      <c r="A121" s="28" t="n">
        <v>45833</v>
      </c>
      <c r="B121" s="29" t="n">
        <v>0.4270833333333333</v>
      </c>
      <c r="C121" s="30" t="inlineStr">
        <is>
          <t>Pipistrellus sp.</t>
        </is>
      </c>
      <c r="D121" s="31" t="n"/>
      <c r="E121" s="30" t="inlineStr">
        <is>
          <t>Clinica Sirio</t>
        </is>
      </c>
      <c r="F121" s="30" t="inlineStr">
        <is>
          <t>Vicenza</t>
        </is>
      </c>
      <c r="G121" s="30" t="inlineStr">
        <is>
          <t>VI</t>
        </is>
      </c>
      <c r="H121" s="30" t="n"/>
      <c r="I121" s="30" t="n"/>
      <c r="J121" s="30" t="inlineStr">
        <is>
          <t>neonato</t>
        </is>
      </c>
      <c r="K121" s="31" t="n">
        <v>1</v>
      </c>
      <c r="L121" s="30" t="inlineStr">
        <is>
          <t>impossibile tentare il ricongiungimento con la madre</t>
        </is>
      </c>
      <c r="M121" s="30" t="inlineStr">
        <is>
          <t>liberato</t>
        </is>
      </c>
      <c r="N121" s="30" t="n"/>
    </row>
    <row r="122" customFormat="1" s="21">
      <c r="A122" s="28" t="n">
        <v>45833</v>
      </c>
      <c r="B122" s="29" t="n">
        <v>0.4763888888888889</v>
      </c>
      <c r="C122" s="30" t="inlineStr">
        <is>
          <t>Pipistrellus sp.</t>
        </is>
      </c>
      <c r="D122" s="31" t="n"/>
      <c r="E122" s="30" t="inlineStr">
        <is>
          <t>Via Ruspoli</t>
        </is>
      </c>
      <c r="F122" s="30" t="inlineStr">
        <is>
          <t>Vicenza</t>
        </is>
      </c>
      <c r="G122" s="30" t="inlineStr">
        <is>
          <t>VI</t>
        </is>
      </c>
      <c r="H122" s="30" t="n"/>
      <c r="I122" s="30" t="n"/>
      <c r="J122" s="30" t="inlineStr">
        <is>
          <t>adulto</t>
        </is>
      </c>
      <c r="K122" s="31" t="n">
        <v>1</v>
      </c>
      <c r="L122" s="30" t="inlineStr">
        <is>
          <t>Trovato sul marciapiede, magro e debilitato</t>
        </is>
      </c>
      <c r="M122" s="30" t="inlineStr">
        <is>
          <t>liberato</t>
        </is>
      </c>
      <c r="N122" s="30" t="n"/>
    </row>
    <row r="123" ht="30" customFormat="1" customHeight="1" s="21">
      <c r="A123" s="28" t="n">
        <v>45834</v>
      </c>
      <c r="B123" s="29" t="n">
        <v>0.3979166666666666</v>
      </c>
      <c r="C123" s="30" t="inlineStr">
        <is>
          <t>Pipistrellus sp.</t>
        </is>
      </c>
      <c r="D123" s="31" t="n"/>
      <c r="E123" s="30" t="inlineStr">
        <is>
          <t>Contrada Valdicese 11</t>
        </is>
      </c>
      <c r="F123" s="30" t="inlineStr">
        <is>
          <t>Valle di Castelgomberto</t>
        </is>
      </c>
      <c r="G123" s="30" t="n"/>
      <c r="H123" s="30" t="n"/>
      <c r="I123" s="30" t="n"/>
      <c r="J123" s="30" t="inlineStr">
        <is>
          <t>neonato</t>
        </is>
      </c>
      <c r="K123" s="31" t="n">
        <v>1</v>
      </c>
      <c r="L123" s="30" t="inlineStr">
        <is>
          <t>Fallito recupero da parte della madre</t>
        </is>
      </c>
      <c r="M123" s="30" t="inlineStr">
        <is>
          <t>liberato</t>
        </is>
      </c>
      <c r="N123" s="30" t="n"/>
    </row>
    <row r="124" customFormat="1" s="21">
      <c r="A124" s="28" t="n">
        <v>45834</v>
      </c>
      <c r="B124" s="29" t="n">
        <v>0.4048611111111111</v>
      </c>
      <c r="C124" s="30" t="inlineStr">
        <is>
          <t>Pipistrellus sp.</t>
        </is>
      </c>
      <c r="D124" s="31" t="n"/>
      <c r="E124" s="30" t="inlineStr">
        <is>
          <t>Zanè</t>
        </is>
      </c>
      <c r="F124" s="30" t="inlineStr">
        <is>
          <t>Vicenza</t>
        </is>
      </c>
      <c r="G124" s="30" t="inlineStr">
        <is>
          <t>VI</t>
        </is>
      </c>
      <c r="H124" s="30" t="n"/>
      <c r="I124" s="30" t="n"/>
      <c r="J124" s="30" t="inlineStr">
        <is>
          <t>cucciolo</t>
        </is>
      </c>
      <c r="K124" s="31" t="n">
        <v>1</v>
      </c>
      <c r="L124" s="30" t="inlineStr">
        <is>
          <t>Trovato dentro un ufficio, debilitato</t>
        </is>
      </c>
      <c r="M124" s="30" t="inlineStr">
        <is>
          <t>liberato</t>
        </is>
      </c>
      <c r="N124" s="30" t="n"/>
    </row>
    <row r="125" customFormat="1" s="21">
      <c r="A125" s="28" t="n">
        <v>45834</v>
      </c>
      <c r="B125" s="29" t="n">
        <v>0.4090277777777778</v>
      </c>
      <c r="C125" s="30" t="inlineStr">
        <is>
          <t>Pipistrellus sp.</t>
        </is>
      </c>
      <c r="D125" s="31" t="n"/>
      <c r="E125" s="30" t="inlineStr">
        <is>
          <t>Ponte San Nicolò</t>
        </is>
      </c>
      <c r="F125" s="30" t="inlineStr">
        <is>
          <t>Padova</t>
        </is>
      </c>
      <c r="G125" s="30" t="inlineStr">
        <is>
          <t>PD</t>
        </is>
      </c>
      <c r="H125" s="30" t="n"/>
      <c r="I125" s="30" t="n"/>
      <c r="J125" s="30" t="inlineStr">
        <is>
          <t>adulto</t>
        </is>
      </c>
      <c r="K125" s="31" t="n">
        <v>1</v>
      </c>
      <c r="L125" s="30" t="inlineStr">
        <is>
          <t>Magro e debilitato in difficoltà</t>
        </is>
      </c>
      <c r="M125" s="30" t="inlineStr">
        <is>
          <t>liberato</t>
        </is>
      </c>
      <c r="N125" s="30" t="n"/>
    </row>
    <row r="126" customFormat="1" s="21">
      <c r="A126" s="28" t="n">
        <v>45834</v>
      </c>
      <c r="B126" s="29" t="n">
        <v>0.5506944444444445</v>
      </c>
      <c r="C126" s="30" t="inlineStr">
        <is>
          <t>Pipistrellus sp.</t>
        </is>
      </c>
      <c r="D126" s="31" t="n"/>
      <c r="E126" s="30" t="inlineStr">
        <is>
          <t>Este</t>
        </is>
      </c>
      <c r="F126" s="30" t="inlineStr">
        <is>
          <t>Padova</t>
        </is>
      </c>
      <c r="G126" s="30" t="inlineStr">
        <is>
          <t>PD</t>
        </is>
      </c>
      <c r="H126" s="30" t="n"/>
      <c r="I126" s="30" t="n"/>
      <c r="J126" s="30" t="inlineStr">
        <is>
          <t>cucciolo</t>
        </is>
      </c>
      <c r="K126" s="31" t="n">
        <v>1</v>
      </c>
      <c r="L126" s="30" t="inlineStr">
        <is>
          <t>Piccolo estremamente magro, molto debilitato</t>
        </is>
      </c>
      <c r="M126" s="30" t="inlineStr">
        <is>
          <t>liberato</t>
        </is>
      </c>
      <c r="N126" s="30" t="n"/>
    </row>
    <row r="127" customFormat="1" s="21">
      <c r="A127" s="28" t="n">
        <v>45834</v>
      </c>
      <c r="B127" s="29" t="n">
        <v>0.8923611111111112</v>
      </c>
      <c r="C127" s="30" t="inlineStr">
        <is>
          <t>Pipistrellus sp.</t>
        </is>
      </c>
      <c r="D127" s="31" t="n"/>
      <c r="E127" s="30" t="inlineStr">
        <is>
          <t>Eraclea</t>
        </is>
      </c>
      <c r="F127" s="30" t="inlineStr">
        <is>
          <t>Venezia</t>
        </is>
      </c>
      <c r="G127" s="30" t="inlineStr">
        <is>
          <t>VE</t>
        </is>
      </c>
      <c r="H127" s="30" t="n"/>
      <c r="I127" s="30" t="n"/>
      <c r="J127" s="30" t="inlineStr">
        <is>
          <t>cucciolo</t>
        </is>
      </c>
      <c r="K127" s="31" t="n">
        <v>1</v>
      </c>
      <c r="L127" s="30" t="inlineStr">
        <is>
          <t>Piccolo magro e debilitato</t>
        </is>
      </c>
      <c r="M127" s="30" t="inlineStr">
        <is>
          <t>liberato</t>
        </is>
      </c>
      <c r="N127" s="30" t="n"/>
    </row>
    <row r="128" customFormat="1" s="21">
      <c r="A128" s="28" t="n">
        <v>45835</v>
      </c>
      <c r="B128" s="29" t="n">
        <v>0.3541666666666667</v>
      </c>
      <c r="C128" s="30" t="inlineStr">
        <is>
          <t>Pipistrellus sp.</t>
        </is>
      </c>
      <c r="D128" s="31" t="n"/>
      <c r="E128" s="30" t="inlineStr">
        <is>
          <t>Lonigo</t>
        </is>
      </c>
      <c r="F128" s="30" t="inlineStr">
        <is>
          <t>Vicenza</t>
        </is>
      </c>
      <c r="G128" s="30" t="inlineStr">
        <is>
          <t>VI</t>
        </is>
      </c>
      <c r="H128" s="30" t="n"/>
      <c r="I128" s="30" t="n"/>
      <c r="J128" s="30" t="inlineStr">
        <is>
          <t>cucciolo</t>
        </is>
      </c>
      <c r="K128" s="31" t="n">
        <v>1</v>
      </c>
      <c r="L128" s="30" t="inlineStr">
        <is>
          <t>Magro e disidratato, vicino allo svezzamento</t>
        </is>
      </c>
      <c r="M128" s="30" t="inlineStr">
        <is>
          <t>liberato</t>
        </is>
      </c>
      <c r="N128" s="30" t="n"/>
    </row>
    <row r="129" customFormat="1" s="21">
      <c r="A129" s="28" t="n">
        <v>45835</v>
      </c>
      <c r="B129" s="29" t="n">
        <v>0.7284722222222222</v>
      </c>
      <c r="C129" s="30" t="inlineStr">
        <is>
          <t>Pipistrellus sp.</t>
        </is>
      </c>
      <c r="D129" s="31" t="n"/>
      <c r="E129" s="30" t="inlineStr">
        <is>
          <t>Vigonza</t>
        </is>
      </c>
      <c r="F129" s="30" t="inlineStr">
        <is>
          <t>Padova</t>
        </is>
      </c>
      <c r="G129" s="30" t="inlineStr">
        <is>
          <t>PD</t>
        </is>
      </c>
      <c r="H129" s="30" t="n"/>
      <c r="I129" s="30" t="n"/>
      <c r="J129" s="30" t="inlineStr">
        <is>
          <t>cucciolo</t>
        </is>
      </c>
      <c r="K129" s="31" t="n">
        <v>1</v>
      </c>
      <c r="L129" s="30" t="inlineStr">
        <is>
          <t>Piccolo molto magro e debilitato</t>
        </is>
      </c>
      <c r="M129" s="30" t="inlineStr">
        <is>
          <t>liberato</t>
        </is>
      </c>
      <c r="N129" s="30" t="n"/>
    </row>
    <row r="130" customFormat="1" s="21">
      <c r="A130" s="28" t="n">
        <v>45835</v>
      </c>
      <c r="B130" s="29" t="n">
        <v>0.8340277777777778</v>
      </c>
      <c r="C130" s="30" t="inlineStr">
        <is>
          <t>Pipistrellus sp.</t>
        </is>
      </c>
      <c r="D130" s="31" t="n"/>
      <c r="E130" s="30" t="inlineStr">
        <is>
          <t>Ponte San Nicolò</t>
        </is>
      </c>
      <c r="F130" s="30" t="inlineStr">
        <is>
          <t>Padova</t>
        </is>
      </c>
      <c r="G130" s="30" t="inlineStr">
        <is>
          <t>PD</t>
        </is>
      </c>
      <c r="H130" s="30" t="n"/>
      <c r="I130" s="30" t="n"/>
      <c r="J130" s="30" t="inlineStr">
        <is>
          <t>adulto</t>
        </is>
      </c>
      <c r="K130" s="31" t="n">
        <v>1</v>
      </c>
      <c r="L130" s="30" t="inlineStr">
        <is>
          <t>Adulto magro e debilitato</t>
        </is>
      </c>
      <c r="M130" s="30" t="inlineStr">
        <is>
          <t>liberato</t>
        </is>
      </c>
      <c r="N130" s="30" t="n"/>
    </row>
    <row r="131" customFormat="1" s="21">
      <c r="A131" s="28" t="n">
        <v>45835</v>
      </c>
      <c r="B131" s="29" t="n">
        <v>0.9472222222222222</v>
      </c>
      <c r="C131" s="30" t="inlineStr">
        <is>
          <t>Pipistrellus sp.</t>
        </is>
      </c>
      <c r="D131" s="31" t="n"/>
      <c r="E131" s="30" t="inlineStr">
        <is>
          <t>Preganziol</t>
        </is>
      </c>
      <c r="F131" s="30" t="inlineStr">
        <is>
          <t>Treviso</t>
        </is>
      </c>
      <c r="G131" s="30" t="inlineStr">
        <is>
          <t>TV</t>
        </is>
      </c>
      <c r="H131" s="30" t="n"/>
      <c r="I131" s="30" t="n"/>
      <c r="J131" s="30" t="inlineStr">
        <is>
          <t>cucciolo</t>
        </is>
      </c>
      <c r="K131" s="31" t="n">
        <v>1</v>
      </c>
      <c r="L131" s="30" t="inlineStr">
        <is>
          <t>Piccolo debilitato</t>
        </is>
      </c>
      <c r="M131" s="30" t="inlineStr">
        <is>
          <t>liberato</t>
        </is>
      </c>
      <c r="N131" s="30" t="n"/>
    </row>
    <row r="132" customFormat="1" s="21">
      <c r="A132" s="28" t="n">
        <v>45836</v>
      </c>
      <c r="B132" s="29" t="n">
        <v>0.3555555555555556</v>
      </c>
      <c r="C132" s="30" t="inlineStr">
        <is>
          <t>Pipistrellus nathusii</t>
        </is>
      </c>
      <c r="D132" s="31" t="n"/>
      <c r="E132" s="30" t="inlineStr">
        <is>
          <t>Cavallino Treporti</t>
        </is>
      </c>
      <c r="F132" s="30" t="inlineStr">
        <is>
          <t>Venezia</t>
        </is>
      </c>
      <c r="G132" s="30" t="inlineStr">
        <is>
          <t>VE</t>
        </is>
      </c>
      <c r="H132" s="30" t="n"/>
      <c r="I132" s="30" t="n"/>
      <c r="J132" s="30" t="inlineStr">
        <is>
          <t>adulto</t>
        </is>
      </c>
      <c r="K132" s="31" t="n">
        <v>1</v>
      </c>
      <c r="L132" s="30" t="inlineStr">
        <is>
          <t>Adulto magro e debilitato</t>
        </is>
      </c>
      <c r="M132" s="30" t="inlineStr">
        <is>
          <t>liberato</t>
        </is>
      </c>
      <c r="N132" s="30" t="n"/>
    </row>
    <row r="133" customFormat="1" s="21">
      <c r="A133" s="28" t="n">
        <v>45836</v>
      </c>
      <c r="B133" s="29" t="n">
        <v>0.3743055555555556</v>
      </c>
      <c r="C133" s="30" t="inlineStr">
        <is>
          <t>Hypsugo savii</t>
        </is>
      </c>
      <c r="D133" s="31" t="n"/>
      <c r="E133" s="30" t="inlineStr">
        <is>
          <t>Dueville</t>
        </is>
      </c>
      <c r="F133" s="30" t="inlineStr">
        <is>
          <t>Vicenza</t>
        </is>
      </c>
      <c r="G133" s="30" t="inlineStr">
        <is>
          <t>VI</t>
        </is>
      </c>
      <c r="H133" s="30" t="n"/>
      <c r="I133" s="30" t="n"/>
      <c r="J133" s="30" t="inlineStr">
        <is>
          <t>cucciolo</t>
        </is>
      </c>
      <c r="K133" s="31" t="n">
        <v>1</v>
      </c>
      <c r="L133" s="30" t="inlineStr">
        <is>
          <t>Magro e debilitato</t>
        </is>
      </c>
      <c r="M133" s="30" t="inlineStr">
        <is>
          <t>liberato</t>
        </is>
      </c>
      <c r="N133" s="30" t="n"/>
    </row>
    <row r="134" customFormat="1" s="21">
      <c r="A134" s="28" t="n">
        <v>45836</v>
      </c>
      <c r="B134" s="29" t="n">
        <v>0.5444444444444444</v>
      </c>
      <c r="C134" s="30" t="inlineStr">
        <is>
          <t>Pipistrellus sp.</t>
        </is>
      </c>
      <c r="D134" s="31" t="n"/>
      <c r="E134" s="30" t="inlineStr">
        <is>
          <t>Carmignano di Brenta</t>
        </is>
      </c>
      <c r="F134" s="30" t="inlineStr">
        <is>
          <t>Padova</t>
        </is>
      </c>
      <c r="G134" s="30" t="inlineStr">
        <is>
          <t>PD</t>
        </is>
      </c>
      <c r="H134" s="30" t="n"/>
      <c r="I134" s="30" t="n"/>
      <c r="J134" s="30" t="inlineStr">
        <is>
          <t>cucciolo</t>
        </is>
      </c>
      <c r="K134" s="31" t="n">
        <v>1</v>
      </c>
      <c r="L134" s="30" t="inlineStr">
        <is>
          <t>Piccolo magro e debilitato</t>
        </is>
      </c>
      <c r="M134" s="30" t="inlineStr">
        <is>
          <t>liberato</t>
        </is>
      </c>
      <c r="N134" s="30" t="n"/>
    </row>
    <row r="135" customFormat="1" s="21">
      <c r="A135" s="28" t="n">
        <v>45837</v>
      </c>
      <c r="B135" s="29" t="n">
        <v>0.3805555555555555</v>
      </c>
      <c r="C135" s="30" t="inlineStr">
        <is>
          <t>Pipistrellus sp.</t>
        </is>
      </c>
      <c r="D135" s="31" t="n"/>
      <c r="E135" s="30" t="inlineStr">
        <is>
          <t>Via Tedesca 69</t>
        </is>
      </c>
      <c r="F135" s="30" t="inlineStr">
        <is>
          <t>Carrè</t>
        </is>
      </c>
      <c r="G135" s="30" t="n"/>
      <c r="H135" s="30" t="n"/>
      <c r="I135" s="30" t="n"/>
      <c r="J135" s="30" t="inlineStr">
        <is>
          <t>cucciolo</t>
        </is>
      </c>
      <c r="K135" s="31" t="n">
        <v>1</v>
      </c>
      <c r="L135" s="30" t="inlineStr">
        <is>
          <t>Magro e disidratato, gravemente debilitato</t>
        </is>
      </c>
      <c r="M135" s="30" t="inlineStr">
        <is>
          <t>morto</t>
        </is>
      </c>
      <c r="N135" s="30" t="n"/>
    </row>
    <row r="136" customFormat="1" s="21">
      <c r="A136" s="28" t="n">
        <v>45837</v>
      </c>
      <c r="B136" s="29" t="n">
        <v>0.9083333333333333</v>
      </c>
      <c r="C136" s="30" t="inlineStr">
        <is>
          <t>Pipistrellus sp.</t>
        </is>
      </c>
      <c r="D136" s="31" t="n"/>
      <c r="E136" s="30" t="inlineStr">
        <is>
          <t>Montegrotto</t>
        </is>
      </c>
      <c r="F136" s="30" t="inlineStr">
        <is>
          <t>Padova</t>
        </is>
      </c>
      <c r="G136" s="30" t="inlineStr">
        <is>
          <t>PD</t>
        </is>
      </c>
      <c r="H136" s="30" t="n"/>
      <c r="I136" s="30" t="n"/>
      <c r="J136" s="30" t="inlineStr">
        <is>
          <t>cucciolo</t>
        </is>
      </c>
      <c r="K136" s="31" t="n">
        <v>1</v>
      </c>
      <c r="L136" s="30" t="inlineStr">
        <is>
          <t>Piccolo magro trovato a terra</t>
        </is>
      </c>
      <c r="M136" s="30" t="inlineStr">
        <is>
          <t>liberato</t>
        </is>
      </c>
      <c r="N136" s="30" t="n"/>
    </row>
    <row r="137" customFormat="1" s="21">
      <c r="A137" s="28" t="n">
        <v>45837</v>
      </c>
      <c r="B137" s="29" t="n">
        <v>0.9256944444444445</v>
      </c>
      <c r="C137" s="30" t="inlineStr">
        <is>
          <t>Pipistrellus kuhlii</t>
        </is>
      </c>
      <c r="D137" s="31" t="n"/>
      <c r="E137" s="30" t="inlineStr">
        <is>
          <t>Contrà Torretti 45</t>
        </is>
      </c>
      <c r="F137" s="30" t="inlineStr">
        <is>
          <t>Vicenza</t>
        </is>
      </c>
      <c r="G137" s="30" t="inlineStr">
        <is>
          <t>VI</t>
        </is>
      </c>
      <c r="H137" s="30" t="n"/>
      <c r="I137" s="30" t="n"/>
      <c r="J137" s="30" t="inlineStr">
        <is>
          <t>cucciolo</t>
        </is>
      </c>
      <c r="K137" s="31" t="n">
        <v>1</v>
      </c>
      <c r="L137" s="30" t="inlineStr">
        <is>
          <t>Molto magro, a fine svezzamento</t>
        </is>
      </c>
      <c r="M137" s="30" t="inlineStr">
        <is>
          <t>liberato</t>
        </is>
      </c>
      <c r="N137" s="30" t="n"/>
    </row>
    <row r="138" customFormat="1" s="21">
      <c r="A138" s="28" t="n">
        <v>45838</v>
      </c>
      <c r="B138" s="29" t="n">
        <v>0.3597222222222222</v>
      </c>
      <c r="C138" s="30" t="inlineStr">
        <is>
          <t>Pipistrellus kuhlii</t>
        </is>
      </c>
      <c r="D138" s="31" t="n"/>
      <c r="E138" s="30" t="inlineStr">
        <is>
          <t xml:space="preserve">Sandrigo </t>
        </is>
      </c>
      <c r="F138" s="30" t="inlineStr">
        <is>
          <t>Vicenza</t>
        </is>
      </c>
      <c r="G138" s="30" t="inlineStr">
        <is>
          <t>VI</t>
        </is>
      </c>
      <c r="H138" s="30" t="n"/>
      <c r="I138" s="30" t="n"/>
      <c r="J138" s="30" t="inlineStr">
        <is>
          <t>adulto</t>
        </is>
      </c>
      <c r="K138" s="31" t="n">
        <v>1</v>
      </c>
      <c r="L138" s="30" t="inlineStr">
        <is>
          <t>A terra in un giardino, gravemente debilitato</t>
        </is>
      </c>
      <c r="M138" s="30" t="inlineStr">
        <is>
          <t>morto</t>
        </is>
      </c>
      <c r="N138" s="30" t="n"/>
    </row>
    <row r="139" ht="30" customFormat="1" customHeight="1" s="21">
      <c r="A139" s="28" t="n">
        <v>45838</v>
      </c>
      <c r="B139" s="29" t="n">
        <v>0.3618055555555555</v>
      </c>
      <c r="C139" s="30" t="inlineStr">
        <is>
          <t>Pipistrellus kuhlii</t>
        </is>
      </c>
      <c r="D139" s="31" t="n"/>
      <c r="E139" s="30" t="inlineStr">
        <is>
          <t>Via Mazzini 15 villa sant'Angela</t>
        </is>
      </c>
      <c r="F139" s="30" t="inlineStr">
        <is>
          <t>Breganze</t>
        </is>
      </c>
      <c r="G139" s="30" t="n"/>
      <c r="H139" s="30" t="n"/>
      <c r="I139" s="30" t="n"/>
      <c r="J139" s="30" t="inlineStr">
        <is>
          <t>cucciolo</t>
        </is>
      </c>
      <c r="K139" s="31" t="n">
        <v>1</v>
      </c>
      <c r="L139" s="30" t="inlineStr">
        <is>
          <t>All'interno di un ufficio, debilitato</t>
        </is>
      </c>
      <c r="M139" s="30" t="inlineStr">
        <is>
          <t>liberato</t>
        </is>
      </c>
      <c r="N139" s="30" t="n"/>
    </row>
    <row r="140" customFormat="1" s="21">
      <c r="A140" s="28" t="n">
        <v>45838</v>
      </c>
      <c r="B140" s="29" t="n">
        <v>0.3715277777777778</v>
      </c>
      <c r="C140" s="30" t="inlineStr">
        <is>
          <t>Pipistrellus sp.</t>
        </is>
      </c>
      <c r="D140" s="31" t="n"/>
      <c r="E140" s="30" t="inlineStr">
        <is>
          <t>Mirano</t>
        </is>
      </c>
      <c r="F140" s="30" t="inlineStr">
        <is>
          <t>Venezia</t>
        </is>
      </c>
      <c r="G140" s="30" t="inlineStr">
        <is>
          <t>VE</t>
        </is>
      </c>
      <c r="H140" s="30" t="n"/>
      <c r="I140" s="30" t="n"/>
      <c r="J140" s="30" t="inlineStr">
        <is>
          <t>adulto</t>
        </is>
      </c>
      <c r="K140" s="31" t="n">
        <v>1</v>
      </c>
      <c r="L140" s="30" t="inlineStr">
        <is>
          <t>Predato da gatto e debilitato</t>
        </is>
      </c>
      <c r="M140" s="30" t="inlineStr">
        <is>
          <t>morto</t>
        </is>
      </c>
      <c r="N140" s="30" t="n"/>
    </row>
    <row r="141" customFormat="1" s="21">
      <c r="A141" s="28" t="n">
        <v>45838</v>
      </c>
      <c r="B141" s="29" t="n">
        <v>0.3923611111111111</v>
      </c>
      <c r="C141" s="30" t="inlineStr">
        <is>
          <t>Pipistrellus sp.</t>
        </is>
      </c>
      <c r="D141" s="31" t="n"/>
      <c r="E141" s="30" t="inlineStr">
        <is>
          <t>Fiesso d'Artico</t>
        </is>
      </c>
      <c r="F141" s="30" t="inlineStr">
        <is>
          <t>Venezia</t>
        </is>
      </c>
      <c r="G141" s="30" t="inlineStr">
        <is>
          <t>VE</t>
        </is>
      </c>
      <c r="H141" s="30" t="n"/>
      <c r="I141" s="30" t="n"/>
      <c r="J141" s="30" t="inlineStr">
        <is>
          <t>cucciolo</t>
        </is>
      </c>
      <c r="K141" s="31" t="n">
        <v>1</v>
      </c>
      <c r="L141" s="30" t="inlineStr">
        <is>
          <t>All'interno di un ufficio, molto magro</t>
        </is>
      </c>
      <c r="M141" s="30" t="inlineStr">
        <is>
          <t>liberato</t>
        </is>
      </c>
      <c r="N141" s="30" t="n"/>
    </row>
    <row r="142" customFormat="1" s="21">
      <c r="A142" s="28" t="n">
        <v>45838</v>
      </c>
      <c r="B142" s="29" t="n">
        <v>0.6729166666666667</v>
      </c>
      <c r="C142" s="30" t="inlineStr">
        <is>
          <t>Pipistrellus sp.</t>
        </is>
      </c>
      <c r="D142" s="31" t="n"/>
      <c r="E142" s="30" t="inlineStr">
        <is>
          <t>Via dei Roveri 16</t>
        </is>
      </c>
      <c r="F142" s="30" t="inlineStr">
        <is>
          <t>Santorso</t>
        </is>
      </c>
      <c r="G142" s="30" t="n"/>
      <c r="H142" s="30" t="n"/>
      <c r="I142" s="30" t="n"/>
      <c r="J142" s="30" t="inlineStr">
        <is>
          <t>cucciolo</t>
        </is>
      </c>
      <c r="K142" s="31" t="n">
        <v>1</v>
      </c>
      <c r="L142" s="30" t="inlineStr">
        <is>
          <t>Magro e debilitato</t>
        </is>
      </c>
      <c r="M142" s="30" t="inlineStr">
        <is>
          <t>liberato</t>
        </is>
      </c>
      <c r="N142" s="30" t="n"/>
    </row>
    <row r="143" customFormat="1" s="21">
      <c r="A143" s="28" t="n">
        <v>45838</v>
      </c>
      <c r="B143" s="29" t="n">
        <v>0.9791666666666666</v>
      </c>
      <c r="C143" s="30" t="inlineStr">
        <is>
          <t>Pipistrellus sp.</t>
        </is>
      </c>
      <c r="D143" s="31" t="n"/>
      <c r="E143" s="30" t="inlineStr">
        <is>
          <t>Recoaro Terme</t>
        </is>
      </c>
      <c r="F143" s="30" t="inlineStr">
        <is>
          <t>Vicenza</t>
        </is>
      </c>
      <c r="G143" s="30" t="inlineStr">
        <is>
          <t>VI</t>
        </is>
      </c>
      <c r="H143" s="30" t="n"/>
      <c r="I143" s="30" t="n"/>
      <c r="J143" s="30" t="inlineStr">
        <is>
          <t>cucciolo</t>
        </is>
      </c>
      <c r="K143" s="31" t="n">
        <v>1</v>
      </c>
      <c r="L143" s="30" t="inlineStr">
        <is>
          <t xml:space="preserve">magro e debilitato </t>
        </is>
      </c>
      <c r="M143" s="30" t="inlineStr">
        <is>
          <t>liberato</t>
        </is>
      </c>
      <c r="N143" s="30" t="n"/>
    </row>
    <row r="144" ht="30" customFormat="1" customHeight="1" s="21">
      <c r="A144" s="28" t="n">
        <v>45839</v>
      </c>
      <c r="B144" s="29" t="n">
        <v>0.3298611111111111</v>
      </c>
      <c r="C144" s="30" t="inlineStr">
        <is>
          <t>Pipistrellus sp.</t>
        </is>
      </c>
      <c r="D144" s="31" t="n"/>
      <c r="E144" s="30" t="inlineStr">
        <is>
          <t>Via Giambattista Vico 146</t>
        </is>
      </c>
      <c r="F144" s="30" t="inlineStr">
        <is>
          <t>Vicenza</t>
        </is>
      </c>
      <c r="G144" s="30" t="inlineStr">
        <is>
          <t>VI</t>
        </is>
      </c>
      <c r="H144" s="30" t="n"/>
      <c r="I144" s="30" t="n"/>
      <c r="J144" s="30" t="inlineStr">
        <is>
          <t>adulto</t>
        </is>
      </c>
      <c r="K144" s="31" t="n">
        <v>1</v>
      </c>
      <c r="L144" s="30" t="inlineStr">
        <is>
          <t>debilitato</t>
        </is>
      </c>
      <c r="M144" s="30" t="inlineStr">
        <is>
          <t>liberato</t>
        </is>
      </c>
      <c r="N144" s="30" t="n"/>
    </row>
    <row r="145" customFormat="1" s="21">
      <c r="A145" s="28" t="n">
        <v>45839</v>
      </c>
      <c r="B145" s="29" t="n">
        <v>0.3527777777777778</v>
      </c>
      <c r="C145" s="30" t="inlineStr">
        <is>
          <t>Pipistrellus sp.</t>
        </is>
      </c>
      <c r="D145" s="31" t="n"/>
      <c r="E145" s="30" t="inlineStr">
        <is>
          <t>Valdagno</t>
        </is>
      </c>
      <c r="F145" s="30" t="inlineStr">
        <is>
          <t>Vicenza</t>
        </is>
      </c>
      <c r="G145" s="30" t="inlineStr">
        <is>
          <t>VI</t>
        </is>
      </c>
      <c r="H145" s="30" t="n"/>
      <c r="I145" s="30" t="n"/>
      <c r="J145" s="30" t="inlineStr">
        <is>
          <t>cucciolo</t>
        </is>
      </c>
      <c r="K145" s="31" t="n">
        <v>1</v>
      </c>
      <c r="L145" s="30" t="inlineStr">
        <is>
          <t>Alimentato per giorni in maniera errata</t>
        </is>
      </c>
      <c r="M145" s="30" t="inlineStr">
        <is>
          <t>morto</t>
        </is>
      </c>
      <c r="N145" s="30" t="n"/>
    </row>
    <row r="146" customFormat="1" s="21">
      <c r="A146" s="28" t="n">
        <v>45839</v>
      </c>
      <c r="B146" s="29" t="n">
        <v>0.6645833333333333</v>
      </c>
      <c r="C146" s="30" t="inlineStr">
        <is>
          <t>Hypsugo savii</t>
        </is>
      </c>
      <c r="D146" s="31" t="n"/>
      <c r="E146" s="30" t="inlineStr">
        <is>
          <t>Brendola</t>
        </is>
      </c>
      <c r="F146" s="30" t="inlineStr">
        <is>
          <t>Vicenza</t>
        </is>
      </c>
      <c r="G146" s="30" t="inlineStr">
        <is>
          <t>VI</t>
        </is>
      </c>
      <c r="H146" s="30" t="n"/>
      <c r="I146" s="30" t="n"/>
      <c r="J146" s="30" t="inlineStr">
        <is>
          <t>adulto</t>
        </is>
      </c>
      <c r="K146" s="31" t="n">
        <v>1</v>
      </c>
      <c r="L146" s="30" t="inlineStr">
        <is>
          <t>A terra non vola</t>
        </is>
      </c>
      <c r="M146" s="30" t="inlineStr">
        <is>
          <t>liberato</t>
        </is>
      </c>
      <c r="N146" s="30" t="n"/>
    </row>
    <row r="147" customFormat="1" s="21">
      <c r="A147" s="28" t="n">
        <v>45839</v>
      </c>
      <c r="B147" s="29" t="n">
        <v>0.6951388888888889</v>
      </c>
      <c r="C147" s="30" t="inlineStr">
        <is>
          <t>Pipistrellus kuhlii</t>
        </is>
      </c>
      <c r="D147" s="31" t="n"/>
      <c r="E147" s="30" t="inlineStr">
        <is>
          <t xml:space="preserve">Via Pertile 18 </t>
        </is>
      </c>
      <c r="F147" s="30" t="inlineStr">
        <is>
          <t>Thiene</t>
        </is>
      </c>
      <c r="G147" s="30" t="inlineStr">
        <is>
          <t>VI</t>
        </is>
      </c>
      <c r="H147" s="30" t="n"/>
      <c r="I147" s="30" t="n"/>
      <c r="J147" s="30" t="inlineStr">
        <is>
          <t>cucciolo</t>
        </is>
      </c>
      <c r="K147" s="31" t="n">
        <v>1</v>
      </c>
      <c r="L147" s="30" t="inlineStr">
        <is>
          <t>All'interno di un ufficio, debilitato</t>
        </is>
      </c>
      <c r="M147" s="30" t="inlineStr">
        <is>
          <t>liberato</t>
        </is>
      </c>
      <c r="N147" s="30" t="n"/>
    </row>
    <row r="148" customFormat="1" s="21">
      <c r="A148" s="28" t="n">
        <v>45840</v>
      </c>
      <c r="B148" s="29" t="n">
        <v>0.6354166666666666</v>
      </c>
      <c r="C148" s="30" t="inlineStr">
        <is>
          <t>Hypsugo savii</t>
        </is>
      </c>
      <c r="D148" s="31" t="n"/>
      <c r="E148" s="30" t="inlineStr">
        <is>
          <t xml:space="preserve">Via Fornace 84 </t>
        </is>
      </c>
      <c r="F148" s="30" t="inlineStr">
        <is>
          <t>Costabissara</t>
        </is>
      </c>
      <c r="G148" s="30" t="n"/>
      <c r="H148" s="30" t="n"/>
      <c r="I148" s="30" t="n"/>
      <c r="J148" s="30" t="inlineStr">
        <is>
          <t>cucciolo</t>
        </is>
      </c>
      <c r="K148" s="31" t="n">
        <v>1</v>
      </c>
      <c r="L148" s="30" t="inlineStr">
        <is>
          <t>Debilitato lasciato in una siepe</t>
        </is>
      </c>
      <c r="M148" s="30" t="inlineStr">
        <is>
          <t>n/a</t>
        </is>
      </c>
      <c r="N148" s="30" t="n"/>
    </row>
    <row r="149" customFormat="1" s="21">
      <c r="A149" s="28" t="n">
        <v>45840</v>
      </c>
      <c r="B149" s="29" t="n">
        <v>0.6541666666666667</v>
      </c>
      <c r="C149" s="30" t="inlineStr">
        <is>
          <t>Pipistrellus sp.</t>
        </is>
      </c>
      <c r="D149" s="31" t="n"/>
      <c r="E149" s="30" t="inlineStr">
        <is>
          <t>Recoaro Terme</t>
        </is>
      </c>
      <c r="F149" s="30" t="inlineStr">
        <is>
          <t>Vicenza</t>
        </is>
      </c>
      <c r="G149" s="30" t="inlineStr">
        <is>
          <t>VI</t>
        </is>
      </c>
      <c r="H149" s="30" t="n"/>
      <c r="I149" s="30" t="n"/>
      <c r="J149" s="30" t="inlineStr">
        <is>
          <t>adulto</t>
        </is>
      </c>
      <c r="K149" s="31" t="n">
        <v>1</v>
      </c>
      <c r="L149" s="30" t="inlineStr">
        <is>
          <t>Magro e debilitato</t>
        </is>
      </c>
      <c r="M149" s="30" t="inlineStr">
        <is>
          <t>liberato</t>
        </is>
      </c>
      <c r="N149" s="30" t="n"/>
    </row>
    <row r="150" customFormat="1" s="21">
      <c r="A150" s="28" t="n">
        <v>45840</v>
      </c>
      <c r="B150" s="29" t="n">
        <v>0.93125</v>
      </c>
      <c r="C150" s="30" t="inlineStr">
        <is>
          <t>Pipistrellus kuhlii</t>
        </is>
      </c>
      <c r="D150" s="31" t="n"/>
      <c r="E150" s="30" t="inlineStr">
        <is>
          <t>Sandrigo</t>
        </is>
      </c>
      <c r="F150" s="30" t="inlineStr">
        <is>
          <t>Vicenza</t>
        </is>
      </c>
      <c r="G150" s="30" t="inlineStr">
        <is>
          <t>VI</t>
        </is>
      </c>
      <c r="H150" s="30" t="n"/>
      <c r="I150" s="30" t="n"/>
      <c r="J150" s="30" t="inlineStr">
        <is>
          <t>cucciolo</t>
        </is>
      </c>
      <c r="K150" s="31" t="n">
        <v>1</v>
      </c>
      <c r="L150" s="30" t="inlineStr">
        <is>
          <t>Giovane estremamente magro</t>
        </is>
      </c>
      <c r="M150" s="30" t="inlineStr">
        <is>
          <t>liberato</t>
        </is>
      </c>
      <c r="N150" s="30" t="n"/>
    </row>
    <row r="151" customFormat="1" s="21">
      <c r="A151" s="28" t="n">
        <v>45841</v>
      </c>
      <c r="B151" s="29" t="n">
        <v>0.4486111111111111</v>
      </c>
      <c r="C151" s="30" t="inlineStr">
        <is>
          <t>Pipistrellus kuhlii</t>
        </is>
      </c>
      <c r="D151" s="31" t="n"/>
      <c r="E151" s="30" t="inlineStr">
        <is>
          <t>Via Donizetti 7</t>
        </is>
      </c>
      <c r="F151" s="30" t="inlineStr">
        <is>
          <t>Dueville</t>
        </is>
      </c>
      <c r="G151" s="30" t="inlineStr">
        <is>
          <t>VI</t>
        </is>
      </c>
      <c r="H151" s="30" t="n"/>
      <c r="I151" s="30" t="n"/>
      <c r="J151" s="30" t="inlineStr">
        <is>
          <t>cucciolo</t>
        </is>
      </c>
      <c r="K151" s="31" t="n">
        <v>1</v>
      </c>
      <c r="L151" s="30" t="inlineStr">
        <is>
          <t>Giovane già svezzato, necessita di allenamento al volo</t>
        </is>
      </c>
      <c r="M151" s="30" t="inlineStr">
        <is>
          <t>liberato</t>
        </is>
      </c>
      <c r="N151" s="30" t="n"/>
    </row>
    <row r="152" customFormat="1" s="21">
      <c r="A152" s="28" t="n">
        <v>45841</v>
      </c>
      <c r="B152" s="29" t="n">
        <v>0.4993055555555556</v>
      </c>
      <c r="C152" s="30" t="inlineStr">
        <is>
          <t>Pipistrellus kuhlii</t>
        </is>
      </c>
      <c r="D152" s="31" t="n"/>
      <c r="E152" s="30" t="inlineStr">
        <is>
          <t>Valdagno</t>
        </is>
      </c>
      <c r="F152" s="30" t="inlineStr">
        <is>
          <t>Vicenza</t>
        </is>
      </c>
      <c r="G152" s="30" t="inlineStr">
        <is>
          <t>VI</t>
        </is>
      </c>
      <c r="H152" s="30" t="n"/>
      <c r="I152" s="30" t="n"/>
      <c r="J152" s="30" t="inlineStr">
        <is>
          <t>adulto</t>
        </is>
      </c>
      <c r="K152" s="31" t="n">
        <v>1</v>
      </c>
      <c r="L152" s="30" t="inlineStr">
        <is>
          <t>Predato da gatto</t>
        </is>
      </c>
      <c r="M152" s="30" t="inlineStr">
        <is>
          <t>morto</t>
        </is>
      </c>
      <c r="N152" s="30" t="n"/>
    </row>
    <row r="153" customFormat="1" s="21">
      <c r="A153" s="28" t="n">
        <v>45841</v>
      </c>
      <c r="B153" s="29" t="n">
        <v>0.8395833333333333</v>
      </c>
      <c r="C153" s="30" t="inlineStr">
        <is>
          <t>Pipistrellus kuhlii</t>
        </is>
      </c>
      <c r="D153" s="31" t="n"/>
      <c r="E153" s="30" t="inlineStr">
        <is>
          <t>Rosà</t>
        </is>
      </c>
      <c r="F153" s="30" t="inlineStr">
        <is>
          <t>Vicenza</t>
        </is>
      </c>
      <c r="G153" s="30" t="inlineStr">
        <is>
          <t>VI</t>
        </is>
      </c>
      <c r="H153" s="30" t="n"/>
      <c r="I153" s="30" t="n"/>
      <c r="J153" s="30" t="inlineStr">
        <is>
          <t>cucciolo</t>
        </is>
      </c>
      <c r="K153" s="31" t="n">
        <v>1</v>
      </c>
      <c r="L153" s="30" t="inlineStr">
        <is>
          <t>Giovane svezzato, magro debilitato</t>
        </is>
      </c>
      <c r="M153" s="30" t="inlineStr">
        <is>
          <t>liberato</t>
        </is>
      </c>
      <c r="N153" s="30" t="n"/>
    </row>
    <row r="154" customFormat="1" s="21">
      <c r="A154" s="28" t="n">
        <v>45842</v>
      </c>
      <c r="B154" s="29" t="n">
        <v>0.3229166666666667</v>
      </c>
      <c r="C154" s="30" t="inlineStr">
        <is>
          <t>Pipistrellus sp.</t>
        </is>
      </c>
      <c r="D154" s="31" t="n"/>
      <c r="E154" s="30" t="inlineStr">
        <is>
          <t xml:space="preserve">Campedello </t>
        </is>
      </c>
      <c r="F154" s="30" t="inlineStr">
        <is>
          <t>Vicenza</t>
        </is>
      </c>
      <c r="G154" s="30" t="inlineStr">
        <is>
          <t>VI</t>
        </is>
      </c>
      <c r="H154" s="30" t="n"/>
      <c r="I154" s="30" t="n"/>
      <c r="J154" s="30" t="inlineStr">
        <is>
          <t>cucciolo</t>
        </is>
      </c>
      <c r="K154" s="31" t="n">
        <v>1</v>
      </c>
      <c r="L154" s="30" t="inlineStr">
        <is>
          <t>aggrappato a un muri in basso, debilitato</t>
        </is>
      </c>
      <c r="M154" s="30" t="inlineStr">
        <is>
          <t>liberato</t>
        </is>
      </c>
      <c r="N154" s="30" t="n"/>
    </row>
    <row r="155" customFormat="1" s="21">
      <c r="A155" s="28" t="n">
        <v>45842</v>
      </c>
      <c r="B155" s="29" t="n">
        <v>0.3868055555555556</v>
      </c>
      <c r="C155" s="30" t="inlineStr">
        <is>
          <t>Pipistrellus kuhlii</t>
        </is>
      </c>
      <c r="D155" s="31" t="n"/>
      <c r="E155" s="30" t="inlineStr">
        <is>
          <t>Vigonza</t>
        </is>
      </c>
      <c r="F155" s="30" t="inlineStr">
        <is>
          <t>Padova</t>
        </is>
      </c>
      <c r="G155" s="30" t="inlineStr">
        <is>
          <t>PD</t>
        </is>
      </c>
      <c r="H155" s="30" t="n"/>
      <c r="I155" s="30" t="n"/>
      <c r="J155" s="30" t="inlineStr">
        <is>
          <t>cucciolo</t>
        </is>
      </c>
      <c r="K155" s="31" t="n">
        <v>1</v>
      </c>
      <c r="L155" s="30" t="inlineStr">
        <is>
          <t>Giovane debilitato</t>
        </is>
      </c>
      <c r="M155" s="30" t="inlineStr">
        <is>
          <t>liberato</t>
        </is>
      </c>
      <c r="N155" s="30" t="n"/>
    </row>
    <row r="156" ht="30" customFormat="1" customHeight="1" s="21">
      <c r="A156" s="28" t="n">
        <v>45842</v>
      </c>
      <c r="B156" s="29" t="n">
        <v>0.7354166666666667</v>
      </c>
      <c r="C156" s="30" t="inlineStr">
        <is>
          <t>Pipistrellus kuhlii</t>
        </is>
      </c>
      <c r="D156" s="31" t="n"/>
      <c r="E156" s="30" t="inlineStr">
        <is>
          <t>Concordia Sagittaria Via Musil 18</t>
        </is>
      </c>
      <c r="F156" s="30" t="inlineStr">
        <is>
          <t>Venezia</t>
        </is>
      </c>
      <c r="G156" s="30" t="inlineStr">
        <is>
          <t>VE</t>
        </is>
      </c>
      <c r="H156" s="30" t="n"/>
      <c r="I156" s="30" t="n"/>
      <c r="J156" s="30" t="inlineStr">
        <is>
          <t>cucciolo</t>
        </is>
      </c>
      <c r="K156" s="31" t="n">
        <v>1</v>
      </c>
      <c r="L156" s="30" t="inlineStr">
        <is>
          <t>Giovane già svezzato, debilitato</t>
        </is>
      </c>
      <c r="M156" s="30" t="inlineStr">
        <is>
          <t>liberato</t>
        </is>
      </c>
      <c r="N156" s="30" t="n"/>
    </row>
    <row r="157" customFormat="1" s="21">
      <c r="A157" s="28" t="n">
        <v>45842</v>
      </c>
      <c r="B157" s="29" t="n">
        <v>0.9326388888888889</v>
      </c>
      <c r="C157" s="30" t="inlineStr">
        <is>
          <t>Pipistrellus sp.</t>
        </is>
      </c>
      <c r="D157" s="31" t="n"/>
      <c r="E157" s="30" t="inlineStr">
        <is>
          <t>Arcugnano</t>
        </is>
      </c>
      <c r="F157" s="30" t="inlineStr">
        <is>
          <t>Vicenza</t>
        </is>
      </c>
      <c r="G157" s="30" t="inlineStr">
        <is>
          <t>VI</t>
        </is>
      </c>
      <c r="H157" s="30" t="n"/>
      <c r="I157" s="30" t="n"/>
      <c r="J157" s="30" t="inlineStr">
        <is>
          <t>adulto</t>
        </is>
      </c>
      <c r="K157" s="31" t="n">
        <v>1</v>
      </c>
      <c r="L157" s="30" t="inlineStr">
        <is>
          <t xml:space="preserve">Predato da gatto </t>
        </is>
      </c>
      <c r="M157" s="30" t="inlineStr">
        <is>
          <t>morto</t>
        </is>
      </c>
      <c r="N157" s="30" t="n"/>
    </row>
    <row r="158" customFormat="1" s="21">
      <c r="A158" s="28" t="n">
        <v>45843</v>
      </c>
      <c r="B158" s="29" t="n">
        <v>0.3923611111111111</v>
      </c>
      <c r="C158" s="30" t="inlineStr">
        <is>
          <t>Pipistrellus kuhlii</t>
        </is>
      </c>
      <c r="D158" s="31" t="n"/>
      <c r="E158" s="30" t="inlineStr">
        <is>
          <t>Bolzano Vicentino</t>
        </is>
      </c>
      <c r="F158" s="30" t="inlineStr">
        <is>
          <t>Bolzano Vicentino</t>
        </is>
      </c>
      <c r="G158" s="30" t="inlineStr">
        <is>
          <t>BZ</t>
        </is>
      </c>
      <c r="H158" s="30" t="n"/>
      <c r="I158" s="30" t="n"/>
      <c r="J158" s="30" t="inlineStr">
        <is>
          <t>cucciolo</t>
        </is>
      </c>
      <c r="K158" s="31" t="n">
        <v>1</v>
      </c>
      <c r="L158" s="30" t="inlineStr">
        <is>
          <t>Svezzato, magro debilitato</t>
        </is>
      </c>
      <c r="M158" s="30" t="inlineStr">
        <is>
          <t>liberato</t>
        </is>
      </c>
      <c r="N158" s="30" t="n"/>
    </row>
    <row r="159" customFormat="1" s="21">
      <c r="A159" s="28" t="n">
        <v>45843</v>
      </c>
      <c r="B159" s="29" t="n">
        <v>0.56875</v>
      </c>
      <c r="C159" s="30" t="inlineStr">
        <is>
          <t>Pipistrellus kuhlii</t>
        </is>
      </c>
      <c r="D159" s="31" t="n"/>
      <c r="E159" s="30" t="inlineStr">
        <is>
          <t>Lozzo Atestino</t>
        </is>
      </c>
      <c r="F159" s="30" t="inlineStr">
        <is>
          <t>Padova</t>
        </is>
      </c>
      <c r="G159" s="30" t="inlineStr">
        <is>
          <t>PD</t>
        </is>
      </c>
      <c r="H159" s="30" t="n"/>
      <c r="I159" s="30" t="n"/>
      <c r="J159" s="30" t="inlineStr">
        <is>
          <t>subadulto</t>
        </is>
      </c>
      <c r="K159" s="31" t="n">
        <v>1</v>
      </c>
      <c r="L159" s="30" t="inlineStr">
        <is>
          <t>Giovane/Adulto debilitato</t>
        </is>
      </c>
      <c r="M159" s="30" t="inlineStr">
        <is>
          <t>liberato</t>
        </is>
      </c>
      <c r="N159" s="30" t="n"/>
    </row>
    <row r="160" customFormat="1" s="21">
      <c r="A160" s="28" t="n">
        <v>45844</v>
      </c>
      <c r="B160" s="29" t="n">
        <v>0.4138888888888889</v>
      </c>
      <c r="C160" s="30" t="inlineStr">
        <is>
          <t>Pipistrellus kuhlii</t>
        </is>
      </c>
      <c r="D160" s="31" t="n"/>
      <c r="E160" s="30" t="inlineStr">
        <is>
          <t>Treviso</t>
        </is>
      </c>
      <c r="F160" s="30" t="inlineStr">
        <is>
          <t>Treviso</t>
        </is>
      </c>
      <c r="G160" s="30" t="inlineStr">
        <is>
          <t>TV</t>
        </is>
      </c>
      <c r="H160" s="30" t="n"/>
      <c r="I160" s="30" t="n"/>
      <c r="J160" s="30" t="inlineStr">
        <is>
          <t>cucciolo</t>
        </is>
      </c>
      <c r="K160" s="31" t="n">
        <v>1</v>
      </c>
      <c r="L160" s="30" t="inlineStr">
        <is>
          <t>Magro e debilitato</t>
        </is>
      </c>
      <c r="M160" s="30" t="inlineStr">
        <is>
          <t>liberato</t>
        </is>
      </c>
      <c r="N160" s="30" t="n"/>
    </row>
    <row r="161" customFormat="1" s="21">
      <c r="A161" s="28" t="n">
        <v>45844</v>
      </c>
      <c r="B161" s="29" t="n">
        <v>0.4986111111111111</v>
      </c>
      <c r="C161" s="30" t="inlineStr">
        <is>
          <t>Pipistrellus sp.</t>
        </is>
      </c>
      <c r="D161" s="31" t="n"/>
      <c r="E161" s="30" t="inlineStr">
        <is>
          <t>Salvazzano Dentro</t>
        </is>
      </c>
      <c r="F161" s="30" t="inlineStr">
        <is>
          <t>Padova</t>
        </is>
      </c>
      <c r="G161" s="30" t="inlineStr">
        <is>
          <t>PD</t>
        </is>
      </c>
      <c r="H161" s="30" t="n"/>
      <c r="I161" s="30" t="n"/>
      <c r="J161" s="30" t="inlineStr">
        <is>
          <t>subadulto</t>
        </is>
      </c>
      <c r="K161" s="31" t="n">
        <v>1</v>
      </c>
      <c r="L161" s="30" t="inlineStr">
        <is>
          <t>Giovane/Adulto debilitato</t>
        </is>
      </c>
      <c r="M161" s="30" t="inlineStr">
        <is>
          <t>liberato</t>
        </is>
      </c>
      <c r="N161" s="30" t="n"/>
    </row>
    <row r="162" customFormat="1" s="21">
      <c r="A162" s="28" t="n">
        <v>45844</v>
      </c>
      <c r="B162" s="29" t="n">
        <v>0.8388888888888889</v>
      </c>
      <c r="C162" s="30" t="n"/>
      <c r="D162" s="31" t="n"/>
      <c r="E162" s="30" t="inlineStr">
        <is>
          <t>Thiene</t>
        </is>
      </c>
      <c r="F162" s="30" t="inlineStr">
        <is>
          <t>Vicenza</t>
        </is>
      </c>
      <c r="G162" s="30" t="inlineStr">
        <is>
          <t>VI</t>
        </is>
      </c>
      <c r="H162" s="30" t="n"/>
      <c r="I162" s="30" t="n"/>
      <c r="J162" s="30" t="inlineStr">
        <is>
          <t>cucciolo</t>
        </is>
      </c>
      <c r="K162" s="31" t="n">
        <v>1</v>
      </c>
      <c r="L162" s="30" t="inlineStr">
        <is>
          <t>Piccolo debilitato</t>
        </is>
      </c>
      <c r="M162" s="30" t="inlineStr">
        <is>
          <t>liberato</t>
        </is>
      </c>
      <c r="N162" s="30" t="n"/>
    </row>
    <row r="163" customFormat="1" s="21">
      <c r="A163" s="28" t="n">
        <v>45845</v>
      </c>
      <c r="B163" s="29" t="n">
        <v>0.6430555555555556</v>
      </c>
      <c r="C163" s="30" t="inlineStr">
        <is>
          <t>Hypsugo savii</t>
        </is>
      </c>
      <c r="D163" s="31" t="n"/>
      <c r="E163" s="30" t="inlineStr">
        <is>
          <t>Via Vivaldi 5</t>
        </is>
      </c>
      <c r="F163" s="30" t="inlineStr">
        <is>
          <t>Costabissara</t>
        </is>
      </c>
      <c r="G163" s="30" t="n"/>
      <c r="H163" s="30" t="n"/>
      <c r="I163" s="30" t="n"/>
      <c r="J163" s="30" t="inlineStr">
        <is>
          <t>cucciolo</t>
        </is>
      </c>
      <c r="K163" s="31" t="n">
        <v>1</v>
      </c>
      <c r="L163" s="30" t="inlineStr">
        <is>
          <t>Giovane savi debilitato</t>
        </is>
      </c>
      <c r="M163" s="30" t="inlineStr">
        <is>
          <t>liberato</t>
        </is>
      </c>
      <c r="N163" s="30" t="n"/>
    </row>
    <row r="164" customFormat="1" s="21">
      <c r="A164" s="28" t="n">
        <v>45845</v>
      </c>
      <c r="B164" s="29" t="n">
        <v>0.9618055555555556</v>
      </c>
      <c r="C164" s="30" t="inlineStr">
        <is>
          <t>Rhinolophus hipposideros</t>
        </is>
      </c>
      <c r="D164" s="31" t="n"/>
      <c r="E164" s="30" t="inlineStr">
        <is>
          <t>Valstagna</t>
        </is>
      </c>
      <c r="F164" s="30" t="inlineStr">
        <is>
          <t>Bassano del grappa</t>
        </is>
      </c>
      <c r="G164" s="30" t="inlineStr">
        <is>
          <t>VI</t>
        </is>
      </c>
      <c r="H164" s="30" t="n"/>
      <c r="I164" s="30" t="n"/>
      <c r="J164" s="30" t="inlineStr">
        <is>
          <t>subadulto</t>
        </is>
      </c>
      <c r="K164" s="31" t="n">
        <v>1</v>
      </c>
      <c r="L164" s="30" t="inlineStr">
        <is>
          <t>Predato da gatto, ala rotta</t>
        </is>
      </c>
      <c r="M164" s="30" t="inlineStr">
        <is>
          <t>morto</t>
        </is>
      </c>
      <c r="N164" s="30" t="n"/>
    </row>
    <row r="165" customFormat="1" s="21">
      <c r="A165" s="28" t="n">
        <v>45846</v>
      </c>
      <c r="B165" s="29" t="n">
        <v>0.5152777777777777</v>
      </c>
      <c r="C165" s="30" t="inlineStr">
        <is>
          <t>Hypsugo savii</t>
        </is>
      </c>
      <c r="D165" s="31" t="inlineStr">
        <is>
          <t>F</t>
        </is>
      </c>
      <c r="E165" s="30" t="inlineStr">
        <is>
          <t>Piazzola sul Brenta</t>
        </is>
      </c>
      <c r="F165" s="30" t="inlineStr">
        <is>
          <t>Padova</t>
        </is>
      </c>
      <c r="G165" s="30" t="inlineStr">
        <is>
          <t>PD</t>
        </is>
      </c>
      <c r="H165" s="30" t="n"/>
      <c r="I165" s="30" t="n"/>
      <c r="J165" s="30" t="inlineStr">
        <is>
          <t>subadulto</t>
        </is>
      </c>
      <c r="K165" s="31" t="n">
        <v>1</v>
      </c>
      <c r="L165" s="30" t="inlineStr">
        <is>
          <t>Giovane/Adulto, con fori nelle ali, recuperato a seguito di un temporale</t>
        </is>
      </c>
      <c r="M165" s="30" t="inlineStr">
        <is>
          <t>liberato</t>
        </is>
      </c>
      <c r="N165" s="30" t="n"/>
    </row>
    <row r="166" customFormat="1" s="21">
      <c r="A166" s="28" t="n">
        <v>45847</v>
      </c>
      <c r="B166" s="29" t="n">
        <v>0.4388888888888889</v>
      </c>
      <c r="C166" s="30" t="inlineStr">
        <is>
          <t>Plecotus sp.</t>
        </is>
      </c>
      <c r="D166" s="31" t="n"/>
      <c r="E166" s="30" t="inlineStr">
        <is>
          <t>Bassano del grappa</t>
        </is>
      </c>
      <c r="F166" s="30" t="inlineStr">
        <is>
          <t>Bassano del grappa</t>
        </is>
      </c>
      <c r="G166" s="30" t="inlineStr">
        <is>
          <t>VI</t>
        </is>
      </c>
      <c r="H166" s="30" t="n"/>
      <c r="I166" s="30" t="n"/>
      <c r="J166" s="30" t="inlineStr">
        <is>
          <t>subadulto</t>
        </is>
      </c>
      <c r="K166" s="31" t="n">
        <v>1</v>
      </c>
      <c r="L166" s="30" t="inlineStr">
        <is>
          <t>Gravemente debilitato</t>
        </is>
      </c>
      <c r="M166" s="30" t="inlineStr">
        <is>
          <t>morto</t>
        </is>
      </c>
      <c r="N166" s="30" t="n"/>
    </row>
    <row r="167" customFormat="1" s="21">
      <c r="A167" s="28" t="n">
        <v>45847</v>
      </c>
      <c r="B167" s="29" t="n">
        <v>0.9020833333333333</v>
      </c>
      <c r="C167" s="30" t="inlineStr">
        <is>
          <t>Pipistrellus kuhlii</t>
        </is>
      </c>
      <c r="D167" s="31" t="n"/>
      <c r="E167" s="30" t="inlineStr">
        <is>
          <t>Riese Pio X</t>
        </is>
      </c>
      <c r="F167" s="30" t="inlineStr">
        <is>
          <t>Treviso</t>
        </is>
      </c>
      <c r="G167" s="30" t="inlineStr">
        <is>
          <t>TV</t>
        </is>
      </c>
      <c r="H167" s="30" t="n"/>
      <c r="I167" s="30" t="n"/>
      <c r="J167" s="30" t="inlineStr">
        <is>
          <t>subadulto</t>
        </is>
      </c>
      <c r="K167" s="31" t="n">
        <v>1</v>
      </c>
      <c r="L167" s="30" t="inlineStr">
        <is>
          <t>Magro e debilitato</t>
        </is>
      </c>
      <c r="M167" s="30" t="inlineStr">
        <is>
          <t>liberato</t>
        </is>
      </c>
      <c r="N167" s="30" t="n"/>
    </row>
    <row r="168" customFormat="1" s="21">
      <c r="A168" s="28" t="n">
        <v>45848</v>
      </c>
      <c r="B168" s="29" t="n">
        <v>0.4979166666666667</v>
      </c>
      <c r="C168" s="30" t="inlineStr">
        <is>
          <t>Pipistrellus kuhlii</t>
        </is>
      </c>
      <c r="D168" s="31" t="n"/>
      <c r="E168" s="30" t="inlineStr">
        <is>
          <t>Via Gregori 27</t>
        </is>
      </c>
      <c r="F168" s="30" t="inlineStr">
        <is>
          <t>Arcugnano</t>
        </is>
      </c>
      <c r="G168" s="30" t="n"/>
      <c r="H168" s="30" t="n"/>
      <c r="I168" s="30" t="n"/>
      <c r="J168" s="30" t="inlineStr">
        <is>
          <t>subadulto</t>
        </is>
      </c>
      <c r="K168" s="31" t="n">
        <v>1</v>
      </c>
      <c r="L168" s="30" t="inlineStr">
        <is>
          <t>Giovane svezzato debilitato</t>
        </is>
      </c>
      <c r="M168" s="30" t="inlineStr">
        <is>
          <t>liberato</t>
        </is>
      </c>
      <c r="N168" s="30" t="n"/>
    </row>
    <row r="169" customFormat="1" s="21">
      <c r="A169" s="28" t="n">
        <v>45848</v>
      </c>
      <c r="B169" s="29" t="n">
        <v>0.8756944444444444</v>
      </c>
      <c r="C169" s="30" t="inlineStr">
        <is>
          <t>Pipistrellus kuhlii</t>
        </is>
      </c>
      <c r="D169" s="31" t="n"/>
      <c r="E169" s="30" t="inlineStr">
        <is>
          <t>Torreglia</t>
        </is>
      </c>
      <c r="F169" s="30" t="inlineStr">
        <is>
          <t>Padova</t>
        </is>
      </c>
      <c r="G169" s="30" t="inlineStr">
        <is>
          <t>PD</t>
        </is>
      </c>
      <c r="H169" s="30" t="n"/>
      <c r="I169" s="30" t="n"/>
      <c r="J169" s="30" t="inlineStr">
        <is>
          <t>subadulto</t>
        </is>
      </c>
      <c r="K169" s="31" t="n">
        <v>1</v>
      </c>
      <c r="L169" s="30" t="inlineStr">
        <is>
          <t>Piccolo magro e debilitato</t>
        </is>
      </c>
      <c r="M169" s="30" t="inlineStr">
        <is>
          <t>liberato</t>
        </is>
      </c>
      <c r="N169" s="30" t="n"/>
    </row>
    <row r="170" customFormat="1" s="21">
      <c r="A170" s="28" t="n">
        <v>45848</v>
      </c>
      <c r="B170" s="29" t="n">
        <v>0.9194444444444444</v>
      </c>
      <c r="C170" s="30" t="inlineStr">
        <is>
          <t>Pipistrellus kuhlii</t>
        </is>
      </c>
      <c r="D170" s="31" t="n"/>
      <c r="E170" s="30" t="inlineStr">
        <is>
          <t>Mogliano Veneto</t>
        </is>
      </c>
      <c r="F170" s="30" t="inlineStr">
        <is>
          <t>Treviso</t>
        </is>
      </c>
      <c r="G170" s="30" t="inlineStr">
        <is>
          <t>TV</t>
        </is>
      </c>
      <c r="H170" s="30" t="n"/>
      <c r="I170" s="30" t="n"/>
      <c r="J170" s="30" t="inlineStr">
        <is>
          <t>subadulto</t>
        </is>
      </c>
      <c r="K170" s="31" t="n">
        <v>1</v>
      </c>
      <c r="L170" s="30" t="inlineStr">
        <is>
          <t>Piccolo magro disidratato</t>
        </is>
      </c>
      <c r="M170" s="30" t="inlineStr">
        <is>
          <t>liberato</t>
        </is>
      </c>
      <c r="N170" s="30" t="n"/>
    </row>
    <row r="171" customFormat="1" s="21">
      <c r="A171" s="28" t="n">
        <v>45848</v>
      </c>
      <c r="B171" s="29" t="n">
        <v>0.9493055555555555</v>
      </c>
      <c r="C171" s="30" t="inlineStr">
        <is>
          <t>Pipistrellus kuhlii</t>
        </is>
      </c>
      <c r="D171" s="31" t="n"/>
      <c r="E171" s="30" t="inlineStr">
        <is>
          <t>Verona</t>
        </is>
      </c>
      <c r="F171" s="30" t="inlineStr">
        <is>
          <t>Verona</t>
        </is>
      </c>
      <c r="G171" s="30" t="inlineStr">
        <is>
          <t>VR</t>
        </is>
      </c>
      <c r="H171" s="30" t="n"/>
      <c r="I171" s="30" t="n"/>
      <c r="J171" s="30" t="inlineStr">
        <is>
          <t>adulto</t>
        </is>
      </c>
      <c r="K171" s="31" t="n">
        <v>1</v>
      </c>
      <c r="L171" s="30" t="inlineStr">
        <is>
          <t>Schiacciato in una zanzariera, ala rotta</t>
        </is>
      </c>
      <c r="M171" s="30" t="inlineStr">
        <is>
          <t>morto</t>
        </is>
      </c>
      <c r="N171" s="30" t="n"/>
    </row>
    <row r="172" customFormat="1" s="21">
      <c r="A172" s="28" t="n">
        <v>45849</v>
      </c>
      <c r="B172" s="29" t="n">
        <v>0.4229166666666667</v>
      </c>
      <c r="C172" s="30" t="inlineStr">
        <is>
          <t>Pipistrellus kuhlii</t>
        </is>
      </c>
      <c r="D172" s="31" t="n"/>
      <c r="E172" s="30" t="inlineStr">
        <is>
          <t>Sovizzo</t>
        </is>
      </c>
      <c r="F172" s="30" t="inlineStr">
        <is>
          <t>Vicenza</t>
        </is>
      </c>
      <c r="G172" s="30" t="inlineStr">
        <is>
          <t>VI</t>
        </is>
      </c>
      <c r="H172" s="30" t="n"/>
      <c r="I172" s="30" t="n"/>
      <c r="J172" s="30" t="inlineStr">
        <is>
          <t>subadulto</t>
        </is>
      </c>
      <c r="K172" s="31" t="n">
        <v>1</v>
      </c>
      <c r="L172" s="30" t="inlineStr">
        <is>
          <t>Magro e debilitato</t>
        </is>
      </c>
      <c r="M172" s="30" t="inlineStr">
        <is>
          <t>liberato</t>
        </is>
      </c>
      <c r="N172" s="30" t="n"/>
    </row>
    <row r="173" customFormat="1" s="21">
      <c r="A173" s="28" t="n">
        <v>45849</v>
      </c>
      <c r="B173" s="29" t="n">
        <v>0.4361111111111111</v>
      </c>
      <c r="C173" s="30" t="inlineStr">
        <is>
          <t>Pipistrellus kuhlii</t>
        </is>
      </c>
      <c r="D173" s="31" t="n"/>
      <c r="E173" s="30" t="inlineStr">
        <is>
          <t>Barbarano Mossano</t>
        </is>
      </c>
      <c r="F173" s="30" t="inlineStr">
        <is>
          <t>Vicenza</t>
        </is>
      </c>
      <c r="G173" s="30" t="inlineStr">
        <is>
          <t>VI</t>
        </is>
      </c>
      <c r="H173" s="30" t="n"/>
      <c r="I173" s="30" t="n"/>
      <c r="J173" s="30" t="inlineStr">
        <is>
          <t>subadulto</t>
        </is>
      </c>
      <c r="K173" s="31" t="n">
        <v>1</v>
      </c>
      <c r="L173" s="30" t="inlineStr">
        <is>
          <t>Giovane subadulto debilitato</t>
        </is>
      </c>
      <c r="M173" s="30" t="inlineStr">
        <is>
          <t>liberato</t>
        </is>
      </c>
      <c r="N173" s="30" t="n"/>
    </row>
    <row r="174" customFormat="1" s="21">
      <c r="A174" s="28" t="n">
        <v>45849</v>
      </c>
      <c r="B174" s="29" t="n">
        <v>0.5388888888888889</v>
      </c>
      <c r="C174" s="30" t="inlineStr">
        <is>
          <t>Hypsugo savii</t>
        </is>
      </c>
      <c r="D174" s="31" t="n"/>
      <c r="E174" s="30" t="inlineStr">
        <is>
          <t>Sandrigo</t>
        </is>
      </c>
      <c r="F174" s="30" t="inlineStr">
        <is>
          <t>Vicenza</t>
        </is>
      </c>
      <c r="G174" s="30" t="inlineStr">
        <is>
          <t>VI</t>
        </is>
      </c>
      <c r="H174" s="30" t="n"/>
      <c r="I174" s="30" t="n"/>
      <c r="J174" s="30" t="inlineStr">
        <is>
          <t>subadulto</t>
        </is>
      </c>
      <c r="K174" s="31" t="n">
        <v>1</v>
      </c>
      <c r="L174" s="30" t="inlineStr">
        <is>
          <t>Gravemente debilitato</t>
        </is>
      </c>
      <c r="M174" s="30" t="inlineStr">
        <is>
          <t>morto</t>
        </is>
      </c>
      <c r="N174" s="30" t="n"/>
    </row>
    <row r="175" customFormat="1" s="21">
      <c r="A175" s="28" t="n">
        <v>45849</v>
      </c>
      <c r="B175" s="29" t="n">
        <v>0.5527777777777778</v>
      </c>
      <c r="C175" s="30" t="inlineStr">
        <is>
          <t>Hypsugo savii</t>
        </is>
      </c>
      <c r="D175" s="31" t="n"/>
      <c r="E175" s="30" t="inlineStr">
        <is>
          <t>Montello</t>
        </is>
      </c>
      <c r="F175" s="30" t="inlineStr">
        <is>
          <t>Treviso</t>
        </is>
      </c>
      <c r="G175" s="30" t="inlineStr">
        <is>
          <t>TV</t>
        </is>
      </c>
      <c r="H175" s="30" t="n"/>
      <c r="I175" s="30" t="n"/>
      <c r="J175" s="30" t="inlineStr">
        <is>
          <t>subadulto</t>
        </is>
      </c>
      <c r="K175" s="31" t="n">
        <v>1</v>
      </c>
      <c r="L175" s="30" t="inlineStr">
        <is>
          <t>Magrissimo, molto debilitato</t>
        </is>
      </c>
      <c r="M175" s="30" t="inlineStr">
        <is>
          <t>morto</t>
        </is>
      </c>
      <c r="N175" s="30" t="n"/>
    </row>
    <row r="176" customFormat="1" s="21">
      <c r="A176" s="28" t="n">
        <v>45849</v>
      </c>
      <c r="B176" s="29" t="n">
        <v>0.6340277777777777</v>
      </c>
      <c r="C176" s="30" t="inlineStr">
        <is>
          <t>Pipistrellus kuhlii</t>
        </is>
      </c>
      <c r="D176" s="31" t="n"/>
      <c r="E176" s="30" t="inlineStr">
        <is>
          <t>San Pietro Mussolino</t>
        </is>
      </c>
      <c r="F176" s="30" t="inlineStr">
        <is>
          <t>Vicenza</t>
        </is>
      </c>
      <c r="G176" s="30" t="inlineStr">
        <is>
          <t>VI</t>
        </is>
      </c>
      <c r="H176" s="30" t="n"/>
      <c r="I176" s="30" t="n"/>
      <c r="J176" s="30" t="inlineStr">
        <is>
          <t>subadulto</t>
        </is>
      </c>
      <c r="K176" s="31" t="n">
        <v>1</v>
      </c>
      <c r="L176" s="30" t="inlineStr">
        <is>
          <t>Piccolo all'interno di un'officina da giorni</t>
        </is>
      </c>
      <c r="M176" s="30" t="inlineStr">
        <is>
          <t>liberato</t>
        </is>
      </c>
      <c r="N176" s="30" t="n"/>
    </row>
    <row r="177" customFormat="1" s="21">
      <c r="A177" s="28" t="n">
        <v>45849</v>
      </c>
      <c r="B177" s="29" t="n">
        <v>0.6444444444444445</v>
      </c>
      <c r="C177" s="30" t="inlineStr">
        <is>
          <t>Pipistrellus kuhlii</t>
        </is>
      </c>
      <c r="D177" s="31" t="n"/>
      <c r="E177" s="30" t="inlineStr">
        <is>
          <t>Santorso</t>
        </is>
      </c>
      <c r="F177" s="30" t="inlineStr">
        <is>
          <t>Vicenza</t>
        </is>
      </c>
      <c r="G177" s="30" t="inlineStr">
        <is>
          <t>VI</t>
        </is>
      </c>
      <c r="H177" s="30" t="n"/>
      <c r="I177" s="30" t="n"/>
      <c r="J177" s="30" t="inlineStr">
        <is>
          <t>subadulto</t>
        </is>
      </c>
      <c r="K177" s="31" t="n">
        <v>1</v>
      </c>
      <c r="L177" s="30" t="inlineStr">
        <is>
          <t>Giovane trovato a terra, molto debilitato</t>
        </is>
      </c>
      <c r="M177" s="30" t="inlineStr">
        <is>
          <t>liberato</t>
        </is>
      </c>
      <c r="N177" s="30" t="n"/>
    </row>
    <row r="178" customFormat="1" s="21">
      <c r="A178" s="28" t="n">
        <v>45849</v>
      </c>
      <c r="B178" s="29" t="n">
        <v>0.6472222222222223</v>
      </c>
      <c r="C178" s="30" t="inlineStr">
        <is>
          <t>Eptesicus serotinus</t>
        </is>
      </c>
      <c r="D178" s="31" t="n"/>
      <c r="E178" s="30" t="inlineStr">
        <is>
          <t>Mestrino</t>
        </is>
      </c>
      <c r="F178" s="30" t="inlineStr">
        <is>
          <t>Padova</t>
        </is>
      </c>
      <c r="G178" s="30" t="inlineStr">
        <is>
          <t>PD</t>
        </is>
      </c>
      <c r="H178" s="30" t="n"/>
      <c r="I178" s="30" t="n"/>
      <c r="J178" s="30" t="inlineStr">
        <is>
          <t>subadulto</t>
        </is>
      </c>
      <c r="K178" s="31" t="n">
        <v>1</v>
      </c>
      <c r="L178" s="30" t="inlineStr">
        <is>
          <t>Magro e debilitato</t>
        </is>
      </c>
      <c r="M178" s="30" t="inlineStr">
        <is>
          <t>liberato</t>
        </is>
      </c>
      <c r="N178" s="30" t="n"/>
    </row>
    <row r="179" customFormat="1" s="21">
      <c r="A179" s="28" t="n">
        <v>45851</v>
      </c>
      <c r="B179" s="29" t="n">
        <v>0.5152777777777777</v>
      </c>
      <c r="C179" s="30" t="inlineStr">
        <is>
          <t>Pipistrellus kuhlii</t>
        </is>
      </c>
      <c r="D179" s="31" t="n"/>
      <c r="E179" s="30" t="inlineStr">
        <is>
          <t>Schio</t>
        </is>
      </c>
      <c r="F179" s="30" t="inlineStr">
        <is>
          <t>Vicenza</t>
        </is>
      </c>
      <c r="G179" s="30" t="inlineStr">
        <is>
          <t>VI</t>
        </is>
      </c>
      <c r="H179" s="30" t="n"/>
      <c r="I179" s="30" t="n"/>
      <c r="J179" s="30" t="inlineStr">
        <is>
          <t>subadulto</t>
        </is>
      </c>
      <c r="K179" s="31" t="n">
        <v>1</v>
      </c>
      <c r="L179" s="30" t="inlineStr">
        <is>
          <t>Giovane debilitato</t>
        </is>
      </c>
      <c r="M179" s="30" t="inlineStr">
        <is>
          <t>liberato</t>
        </is>
      </c>
      <c r="N179" s="30" t="n"/>
    </row>
    <row r="180" ht="30" customFormat="1" customHeight="1" s="21">
      <c r="A180" s="28" t="n">
        <v>45851</v>
      </c>
      <c r="B180" s="29" t="n">
        <v>0.6375</v>
      </c>
      <c r="C180" s="30" t="inlineStr">
        <is>
          <t>Hypsugo savii</t>
        </is>
      </c>
      <c r="D180" s="31" t="n"/>
      <c r="E180" s="30" t="inlineStr">
        <is>
          <t>Via Capitania 10, Volpago del Montello</t>
        </is>
      </c>
      <c r="F180" s="30" t="inlineStr">
        <is>
          <t>Treviso</t>
        </is>
      </c>
      <c r="G180" s="30" t="inlineStr">
        <is>
          <t>TV</t>
        </is>
      </c>
      <c r="H180" s="30" t="n"/>
      <c r="I180" s="30" t="n"/>
      <c r="J180" s="30" t="inlineStr">
        <is>
          <t>subadulto</t>
        </is>
      </c>
      <c r="K180" s="31" t="n">
        <v>1</v>
      </c>
      <c r="L180" s="30" t="inlineStr">
        <is>
          <t>Giovane debilitato</t>
        </is>
      </c>
      <c r="M180" s="30" t="inlineStr">
        <is>
          <t>liberato</t>
        </is>
      </c>
      <c r="N180" s="30" t="n"/>
    </row>
    <row r="181" customFormat="1" s="21">
      <c r="A181" s="28" t="n">
        <v>45851</v>
      </c>
      <c r="B181" s="29" t="n">
        <v>0.8493055555555555</v>
      </c>
      <c r="C181" s="30" t="inlineStr">
        <is>
          <t>Pipistrellus sp.</t>
        </is>
      </c>
      <c r="D181" s="31" t="n"/>
      <c r="E181" s="30" t="inlineStr">
        <is>
          <t>Sandrigo</t>
        </is>
      </c>
      <c r="F181" s="30" t="inlineStr">
        <is>
          <t>Vicenza</t>
        </is>
      </c>
      <c r="G181" s="30" t="inlineStr">
        <is>
          <t>VI</t>
        </is>
      </c>
      <c r="H181" s="30" t="n"/>
      <c r="I181" s="30" t="n"/>
      <c r="J181" s="30" t="inlineStr">
        <is>
          <t>subadulto</t>
        </is>
      </c>
      <c r="K181" s="31" t="n">
        <v>1</v>
      </c>
      <c r="L181" s="30" t="inlineStr">
        <is>
          <t>Giovane molto debilitato</t>
        </is>
      </c>
      <c r="M181" s="30" t="inlineStr">
        <is>
          <t>liberato</t>
        </is>
      </c>
      <c r="N181" s="30" t="n"/>
    </row>
    <row r="182" customFormat="1" s="21">
      <c r="A182" s="28" t="n">
        <v>45852</v>
      </c>
      <c r="B182" s="29" t="n">
        <v>0.4305555555555556</v>
      </c>
      <c r="C182" s="30" t="inlineStr">
        <is>
          <t>Hypsugo savii</t>
        </is>
      </c>
      <c r="D182" s="31" t="n"/>
      <c r="E182" s="30" t="inlineStr">
        <is>
          <t>Schio</t>
        </is>
      </c>
      <c r="F182" s="30" t="inlineStr">
        <is>
          <t>Vicenza</t>
        </is>
      </c>
      <c r="G182" s="30" t="inlineStr">
        <is>
          <t>VI</t>
        </is>
      </c>
      <c r="H182" s="30" t="n"/>
      <c r="I182" s="30" t="n"/>
      <c r="J182" s="30" t="inlineStr">
        <is>
          <t>subadulto</t>
        </is>
      </c>
      <c r="K182" s="31" t="n">
        <v>1</v>
      </c>
      <c r="L182" s="30" t="inlineStr">
        <is>
          <t>A terra gravemente debilitato</t>
        </is>
      </c>
      <c r="M182" s="30" t="inlineStr">
        <is>
          <t>liberato</t>
        </is>
      </c>
      <c r="N182" s="30" t="n"/>
    </row>
    <row r="183" customFormat="1" s="21">
      <c r="A183" s="28" t="n">
        <v>45852</v>
      </c>
      <c r="B183" s="29" t="n">
        <v>0.6673611111111111</v>
      </c>
      <c r="C183" s="30" t="inlineStr">
        <is>
          <t>Pipistrellus sp.</t>
        </is>
      </c>
      <c r="D183" s="31" t="n"/>
      <c r="E183" s="30" t="inlineStr">
        <is>
          <t>Breda di Piave</t>
        </is>
      </c>
      <c r="F183" s="30" t="inlineStr">
        <is>
          <t>Treviso</t>
        </is>
      </c>
      <c r="G183" s="30" t="inlineStr">
        <is>
          <t>TV</t>
        </is>
      </c>
      <c r="H183" s="30" t="n"/>
      <c r="I183" s="30" t="n"/>
      <c r="J183" s="30" t="inlineStr">
        <is>
          <t>subadulto</t>
        </is>
      </c>
      <c r="K183" s="31" t="n">
        <v>1</v>
      </c>
      <c r="L183" s="30" t="inlineStr">
        <is>
          <t>Giovane molto magro, debilitato</t>
        </is>
      </c>
      <c r="M183" s="30" t="inlineStr">
        <is>
          <t>liberato</t>
        </is>
      </c>
      <c r="N183" s="30" t="n"/>
    </row>
    <row r="184" customFormat="1" s="21">
      <c r="A184" s="28" t="n">
        <v>45852</v>
      </c>
      <c r="B184" s="29" t="n">
        <v>0.79375</v>
      </c>
      <c r="C184" s="30" t="inlineStr">
        <is>
          <t>Hypsugo savii</t>
        </is>
      </c>
      <c r="D184" s="31" t="n"/>
      <c r="E184" s="30" t="inlineStr">
        <is>
          <t>Borgo Sacco</t>
        </is>
      </c>
      <c r="F184" s="30" t="inlineStr">
        <is>
          <t>Trento</t>
        </is>
      </c>
      <c r="G184" s="30" t="inlineStr">
        <is>
          <t>TN</t>
        </is>
      </c>
      <c r="H184" s="30" t="n"/>
      <c r="I184" s="30" t="n"/>
      <c r="J184" s="30" t="inlineStr">
        <is>
          <t>subadulto</t>
        </is>
      </c>
      <c r="K184" s="31" t="n">
        <v>1</v>
      </c>
      <c r="L184" s="30" t="inlineStr">
        <is>
          <t>Molto magro e debilitato</t>
        </is>
      </c>
      <c r="M184" s="30" t="inlineStr">
        <is>
          <t>liberato</t>
        </is>
      </c>
      <c r="N184" s="30" t="n"/>
    </row>
    <row r="185" customFormat="1" s="21">
      <c r="A185" s="28" t="n">
        <v>45852</v>
      </c>
      <c r="B185" s="29" t="n">
        <v>0.8291666666666667</v>
      </c>
      <c r="C185" s="30" t="inlineStr">
        <is>
          <t>Hypsugo savii</t>
        </is>
      </c>
      <c r="D185" s="31" t="n"/>
      <c r="E185" s="30" t="inlineStr">
        <is>
          <t>Padova</t>
        </is>
      </c>
      <c r="F185" s="30" t="inlineStr">
        <is>
          <t>Padova</t>
        </is>
      </c>
      <c r="G185" s="30" t="inlineStr">
        <is>
          <t>PD</t>
        </is>
      </c>
      <c r="H185" s="30" t="n"/>
      <c r="I185" s="30" t="n"/>
      <c r="J185" s="30" t="inlineStr">
        <is>
          <t>adulto</t>
        </is>
      </c>
      <c r="K185" s="31" t="n">
        <v>1</v>
      </c>
      <c r="L185" s="30" t="inlineStr">
        <is>
          <t>Molto magro e debilitato con frattura ad un'ala</t>
        </is>
      </c>
      <c r="M185" s="30" t="inlineStr">
        <is>
          <t>morto</t>
        </is>
      </c>
      <c r="N185" s="30" t="n"/>
    </row>
    <row r="186" customFormat="1" s="21">
      <c r="A186" s="28" t="n">
        <v>45853</v>
      </c>
      <c r="B186" s="29" t="n">
        <v>0.6597222222222222</v>
      </c>
      <c r="C186" s="30" t="inlineStr">
        <is>
          <t>Pipistrellus sp.</t>
        </is>
      </c>
      <c r="D186" s="31" t="n"/>
      <c r="E186" s="30" t="inlineStr">
        <is>
          <t>Campo San Martino</t>
        </is>
      </c>
      <c r="F186" s="30" t="inlineStr">
        <is>
          <t>Padova</t>
        </is>
      </c>
      <c r="G186" s="30" t="inlineStr">
        <is>
          <t>PD</t>
        </is>
      </c>
      <c r="H186" s="30" t="n"/>
      <c r="I186" s="30" t="n"/>
      <c r="J186" s="30" t="inlineStr">
        <is>
          <t>adulto</t>
        </is>
      </c>
      <c r="K186" s="31" t="n">
        <v>1</v>
      </c>
      <c r="L186" s="30" t="inlineStr">
        <is>
          <t>Predato da gatto, frattura all'avambraccio</t>
        </is>
      </c>
      <c r="M186" s="30" t="inlineStr">
        <is>
          <t>morto</t>
        </is>
      </c>
      <c r="N186" s="30" t="n"/>
    </row>
    <row r="187" customFormat="1" s="21">
      <c r="A187" s="28" t="n">
        <v>45859</v>
      </c>
      <c r="B187" s="29" t="n">
        <v>0.5583333333333333</v>
      </c>
      <c r="C187" s="30" t="inlineStr">
        <is>
          <t>Hypsugo savii</t>
        </is>
      </c>
      <c r="D187" s="31" t="n"/>
      <c r="E187" s="30" t="inlineStr">
        <is>
          <t>Schio</t>
        </is>
      </c>
      <c r="F187" s="30" t="inlineStr">
        <is>
          <t>Vicenza</t>
        </is>
      </c>
      <c r="G187" s="30" t="inlineStr">
        <is>
          <t>VI</t>
        </is>
      </c>
      <c r="H187" s="30" t="n"/>
      <c r="I187" s="30" t="n"/>
      <c r="J187" s="30" t="inlineStr">
        <is>
          <t>subadulto</t>
        </is>
      </c>
      <c r="K187" s="31" t="n">
        <v>1</v>
      </c>
      <c r="L187" s="30" t="inlineStr">
        <is>
          <t>Giovane Savi molto debilitato</t>
        </is>
      </c>
      <c r="M187" s="30" t="inlineStr">
        <is>
          <t>liberato</t>
        </is>
      </c>
      <c r="N187" s="30" t="n"/>
    </row>
    <row r="188" customFormat="1" s="21">
      <c r="A188" s="28" t="n">
        <v>45859</v>
      </c>
      <c r="B188" s="29" t="n">
        <v>0.8229166666666666</v>
      </c>
      <c r="C188" s="30" t="inlineStr">
        <is>
          <t>Pipistrellus sp.</t>
        </is>
      </c>
      <c r="D188" s="31" t="n"/>
      <c r="E188" s="30" t="inlineStr">
        <is>
          <t>Mussolente</t>
        </is>
      </c>
      <c r="F188" s="30" t="inlineStr">
        <is>
          <t>Vicenza</t>
        </is>
      </c>
      <c r="G188" s="30" t="inlineStr">
        <is>
          <t>VI</t>
        </is>
      </c>
      <c r="H188" s="30" t="n"/>
      <c r="I188" s="30" t="n"/>
      <c r="J188" s="30" t="inlineStr">
        <is>
          <t>subadulto</t>
        </is>
      </c>
      <c r="K188" s="31" t="n">
        <v>1</v>
      </c>
      <c r="L188" s="30" t="inlineStr">
        <is>
          <t>Predato ferito debilitato</t>
        </is>
      </c>
      <c r="M188" s="30" t="inlineStr">
        <is>
          <t>morto</t>
        </is>
      </c>
      <c r="N188" s="30" t="n"/>
    </row>
    <row r="189" customFormat="1" s="21">
      <c r="A189" s="28" t="n">
        <v>45860</v>
      </c>
      <c r="B189" s="29" t="n">
        <v>0.7729166666666667</v>
      </c>
      <c r="C189" s="30" t="inlineStr">
        <is>
          <t>Pipistrellus sp.</t>
        </is>
      </c>
      <c r="D189" s="31" t="n"/>
      <c r="E189" s="30" t="inlineStr">
        <is>
          <t>Marostica</t>
        </is>
      </c>
      <c r="F189" s="30" t="inlineStr">
        <is>
          <t>Vicenza</t>
        </is>
      </c>
      <c r="G189" s="30" t="inlineStr">
        <is>
          <t>VI</t>
        </is>
      </c>
      <c r="H189" s="30" t="n"/>
      <c r="I189" s="30" t="n"/>
      <c r="J189" s="30" t="inlineStr">
        <is>
          <t>adulto</t>
        </is>
      </c>
      <c r="K189" s="31" t="n">
        <v>2</v>
      </c>
      <c r="L189" s="30" t="inlineStr">
        <is>
          <t>(2) pipistrelli intrappolati all'interno di una caldaia da 2 giorni, 1 schiacciato</t>
        </is>
      </c>
      <c r="M189" s="30" t="inlineStr">
        <is>
          <t>morto</t>
        </is>
      </c>
      <c r="N189" s="30" t="n"/>
    </row>
    <row r="190" customFormat="1" s="21">
      <c r="A190" s="28" t="n">
        <v>45860</v>
      </c>
      <c r="B190" s="29" t="n">
        <v>0.7729166666666667</v>
      </c>
      <c r="C190" s="30" t="inlineStr">
        <is>
          <t>Pipistrellus sp.</t>
        </is>
      </c>
      <c r="D190" s="31" t="n"/>
      <c r="E190" s="30" t="inlineStr">
        <is>
          <t>Marostica</t>
        </is>
      </c>
      <c r="F190" s="30" t="inlineStr">
        <is>
          <t>Vicenza</t>
        </is>
      </c>
      <c r="G190" s="30" t="inlineStr">
        <is>
          <t>VI</t>
        </is>
      </c>
      <c r="H190" s="30" t="n"/>
      <c r="I190" s="30" t="n"/>
      <c r="J190" s="30" t="inlineStr">
        <is>
          <t>adulto</t>
        </is>
      </c>
      <c r="K190" s="31" t="n">
        <v>1</v>
      </c>
      <c r="L190" s="30" t="inlineStr">
        <is>
          <t>pipistrelli intrappolati all'interno di una caldaia da 2 giorni</t>
        </is>
      </c>
      <c r="M190" s="30" t="inlineStr">
        <is>
          <t>liberato</t>
        </is>
      </c>
      <c r="N190" s="30" t="n"/>
    </row>
    <row r="191" customFormat="1" s="21">
      <c r="A191" s="28" t="n">
        <v>45861</v>
      </c>
      <c r="B191" s="29" t="n">
        <v>0.6354166666666666</v>
      </c>
      <c r="C191" s="30" t="inlineStr">
        <is>
          <t>Pipistrellus sp.</t>
        </is>
      </c>
      <c r="D191" s="31" t="n"/>
      <c r="E191" s="30" t="inlineStr">
        <is>
          <t>Chiampo</t>
        </is>
      </c>
      <c r="F191" s="30" t="inlineStr">
        <is>
          <t>Vicenza</t>
        </is>
      </c>
      <c r="G191" s="30" t="inlineStr">
        <is>
          <t>VI</t>
        </is>
      </c>
      <c r="H191" s="30" t="n"/>
      <c r="I191" s="30" t="n"/>
      <c r="J191" s="30" t="inlineStr">
        <is>
          <t>subadulto</t>
        </is>
      </c>
      <c r="K191" s="31" t="n">
        <v>1</v>
      </c>
      <c r="L191" s="30" t="inlineStr">
        <is>
          <t>Trovato a terra nel prato, debilitato</t>
        </is>
      </c>
      <c r="M191" s="30" t="inlineStr">
        <is>
          <t>liberato</t>
        </is>
      </c>
      <c r="N191" s="30" t="n"/>
    </row>
    <row r="192" customFormat="1" s="21">
      <c r="A192" s="28" t="n">
        <v>45861</v>
      </c>
      <c r="B192" s="29" t="n">
        <v>0.8243055555555555</v>
      </c>
      <c r="C192" s="30" t="inlineStr">
        <is>
          <t>Hypsugo savii</t>
        </is>
      </c>
      <c r="D192" s="31" t="n"/>
      <c r="E192" s="30" t="inlineStr">
        <is>
          <t>Vittorio Veneto</t>
        </is>
      </c>
      <c r="F192" s="30" t="inlineStr">
        <is>
          <t>Treviso</t>
        </is>
      </c>
      <c r="G192" s="30" t="inlineStr">
        <is>
          <t>TV</t>
        </is>
      </c>
      <c r="H192" s="30" t="n"/>
      <c r="I192" s="30" t="n"/>
      <c r="J192" s="30" t="inlineStr">
        <is>
          <t>adulto</t>
        </is>
      </c>
      <c r="K192" s="31" t="n">
        <v>1</v>
      </c>
      <c r="L192" s="30" t="inlineStr">
        <is>
          <t>Trovato nell'acqua di scolo di un condizionatore</t>
        </is>
      </c>
      <c r="M192" s="30" t="inlineStr">
        <is>
          <t>liberato</t>
        </is>
      </c>
      <c r="N192" s="30" t="n"/>
    </row>
    <row r="193" customFormat="1" s="21">
      <c r="A193" s="28" t="n">
        <v>45864</v>
      </c>
      <c r="B193" s="29" t="n">
        <v>0.5347222222222222</v>
      </c>
      <c r="C193" s="30" t="inlineStr">
        <is>
          <t>Hypsugo savii</t>
        </is>
      </c>
      <c r="D193" s="31" t="n"/>
      <c r="E193" s="30" t="inlineStr">
        <is>
          <t>San Donà di Piave</t>
        </is>
      </c>
      <c r="F193" s="30" t="inlineStr">
        <is>
          <t>Venezia</t>
        </is>
      </c>
      <c r="G193" s="30" t="inlineStr">
        <is>
          <t>VE</t>
        </is>
      </c>
      <c r="H193" s="30" t="n"/>
      <c r="I193" s="30" t="n"/>
      <c r="J193" s="30" t="inlineStr">
        <is>
          <t>subadulto</t>
        </is>
      </c>
      <c r="K193" s="31" t="n">
        <v>1</v>
      </c>
      <c r="L193" s="30" t="inlineStr">
        <is>
          <t>Giovane già svezzato, debilitato</t>
        </is>
      </c>
      <c r="M193" s="30" t="inlineStr">
        <is>
          <t>liberato</t>
        </is>
      </c>
      <c r="N193" s="30" t="n"/>
    </row>
    <row r="194" customFormat="1" s="21">
      <c r="A194" s="28" t="n">
        <v>45866</v>
      </c>
      <c r="B194" s="29" t="n">
        <v>0.7152777777777778</v>
      </c>
      <c r="C194" s="30" t="inlineStr">
        <is>
          <t>Pipistrellus kuhlii</t>
        </is>
      </c>
      <c r="D194" s="31" t="n"/>
      <c r="E194" s="30" t="inlineStr">
        <is>
          <t>Forcellini</t>
        </is>
      </c>
      <c r="F194" s="30" t="inlineStr">
        <is>
          <t>Padova</t>
        </is>
      </c>
      <c r="G194" s="30" t="inlineStr">
        <is>
          <t>PD</t>
        </is>
      </c>
      <c r="H194" s="30" t="n"/>
      <c r="I194" s="30" t="n"/>
      <c r="J194" s="30" t="inlineStr">
        <is>
          <t>subadulto</t>
        </is>
      </c>
      <c r="K194" s="31" t="n">
        <v>1</v>
      </c>
      <c r="L194" s="30" t="inlineStr">
        <is>
          <t>Magro e debilitato</t>
        </is>
      </c>
      <c r="M194" s="30" t="inlineStr">
        <is>
          <t>liberato</t>
        </is>
      </c>
      <c r="N194" s="30" t="n"/>
    </row>
    <row r="195" customFormat="1" s="21">
      <c r="A195" s="28" t="n">
        <v>45868</v>
      </c>
      <c r="B195" s="29" t="n">
        <v>0.6159722222222223</v>
      </c>
      <c r="C195" s="30" t="inlineStr">
        <is>
          <t>Hypsugo savii</t>
        </is>
      </c>
      <c r="D195" s="31" t="n"/>
      <c r="E195" s="30" t="inlineStr">
        <is>
          <t>Vicenza</t>
        </is>
      </c>
      <c r="F195" s="30" t="inlineStr">
        <is>
          <t>Vicenza</t>
        </is>
      </c>
      <c r="G195" s="30" t="inlineStr">
        <is>
          <t>VI</t>
        </is>
      </c>
      <c r="H195" s="30" t="n"/>
      <c r="I195" s="30" t="n"/>
      <c r="J195" s="30" t="inlineStr">
        <is>
          <t>subadulto</t>
        </is>
      </c>
      <c r="K195" s="31" t="n">
        <v>1</v>
      </c>
      <c r="L195" s="30" t="inlineStr">
        <is>
          <t>Tenuto dai segnalanti per 4 giorni, debilitato</t>
        </is>
      </c>
      <c r="M195" s="30" t="inlineStr">
        <is>
          <t>morto</t>
        </is>
      </c>
      <c r="N195" s="30" t="n"/>
    </row>
    <row r="196" customFormat="1" s="21">
      <c r="A196" s="28" t="n">
        <v>45868</v>
      </c>
      <c r="B196" s="29" t="n">
        <v>0.8951388888888889</v>
      </c>
      <c r="C196" s="30" t="inlineStr">
        <is>
          <t>Eptesicus serotinus</t>
        </is>
      </c>
      <c r="D196" s="31" t="n"/>
      <c r="E196" s="30" t="inlineStr">
        <is>
          <t>Rubano</t>
        </is>
      </c>
      <c r="F196" s="30" t="inlineStr">
        <is>
          <t>Padova</t>
        </is>
      </c>
      <c r="G196" s="30" t="inlineStr">
        <is>
          <t>PD</t>
        </is>
      </c>
      <c r="H196" s="30" t="n"/>
      <c r="I196" s="30" t="n"/>
      <c r="J196" s="30" t="inlineStr">
        <is>
          <t>adulto</t>
        </is>
      </c>
      <c r="K196" s="31" t="n">
        <v>1</v>
      </c>
      <c r="L196" s="30" t="inlineStr">
        <is>
          <t>Ferito con frattura esposta all'altezza del gomito</t>
        </is>
      </c>
      <c r="M196" s="30" t="inlineStr">
        <is>
          <t>in degenza</t>
        </is>
      </c>
      <c r="N196" s="30" t="n"/>
    </row>
    <row r="197" customFormat="1" s="21">
      <c r="A197" s="28" t="n">
        <v>45872</v>
      </c>
      <c r="B197" s="29" t="n">
        <v>0.5423611111111111</v>
      </c>
      <c r="C197" s="30" t="inlineStr">
        <is>
          <t>Eptesicus serotinus</t>
        </is>
      </c>
      <c r="D197" s="31" t="n"/>
      <c r="E197" s="30" t="inlineStr">
        <is>
          <t>Via Grigno 16</t>
        </is>
      </c>
      <c r="F197" s="30" t="inlineStr">
        <is>
          <t>Padova</t>
        </is>
      </c>
      <c r="G197" s="30" t="inlineStr">
        <is>
          <t>PD</t>
        </is>
      </c>
      <c r="H197" s="30" t="n"/>
      <c r="I197" s="30" t="n"/>
      <c r="J197" s="30" t="inlineStr">
        <is>
          <t>adulto</t>
        </is>
      </c>
      <c r="K197" s="31" t="n">
        <v>1</v>
      </c>
      <c r="L197" s="30" t="inlineStr">
        <is>
          <t>Ferito, frattura esposta dell'ulna</t>
        </is>
      </c>
      <c r="M197" s="30" t="inlineStr">
        <is>
          <t>in degenza</t>
        </is>
      </c>
      <c r="N197" s="30" t="n"/>
    </row>
    <row r="198" ht="45" customFormat="1" customHeight="1" s="21">
      <c r="A198" s="28" t="n">
        <v>45875</v>
      </c>
      <c r="B198" s="29" t="n">
        <v>0.4305555555555556</v>
      </c>
      <c r="C198" s="30" t="inlineStr">
        <is>
          <t>Hypsugo Savii</t>
        </is>
      </c>
      <c r="D198" s="31" t="n"/>
      <c r="E198" s="30" t="inlineStr">
        <is>
          <t>Via Lungo Giara 30/7</t>
        </is>
      </c>
      <c r="F198" s="30" t="inlineStr">
        <is>
          <t>San Tomio di Malo</t>
        </is>
      </c>
      <c r="G198" s="30" t="inlineStr">
        <is>
          <t>VI</t>
        </is>
      </c>
      <c r="H198" s="30" t="n"/>
      <c r="I198" s="30" t="n"/>
      <c r="J198" s="30" t="n"/>
      <c r="K198" s="31" t="n">
        <v>1</v>
      </c>
      <c r="L198" s="30" t="inlineStr">
        <is>
          <t>All'interno di un'autorimessa da giorni (sono 3 pipi). Risolto. c'è una colonia nella palestra li vicino. utilizzano l'androne dei garage come posatoio, poi tornano nel rifugio della palestra.</t>
        </is>
      </c>
      <c r="M198" s="30" t="inlineStr">
        <is>
          <t>liberato</t>
        </is>
      </c>
      <c r="N198" s="30" t="n"/>
    </row>
    <row r="199" ht="30" customFormat="1" customHeight="1" s="21">
      <c r="A199" s="28" t="n">
        <v>45876</v>
      </c>
      <c r="B199" s="29" t="n">
        <v>0.4451388888888889</v>
      </c>
      <c r="C199" s="30" t="inlineStr">
        <is>
          <t>Rhinolophus hipposideros</t>
        </is>
      </c>
      <c r="D199" s="31" t="n"/>
      <c r="E199" s="30" t="inlineStr">
        <is>
          <t>Via Borgo Masotto 8, Anzano</t>
        </is>
      </c>
      <c r="F199" s="30" t="inlineStr">
        <is>
          <t>Cappella Maggiore</t>
        </is>
      </c>
      <c r="G199" s="30" t="n"/>
      <c r="H199" s="30" t="n"/>
      <c r="I199" s="30" t="n"/>
      <c r="J199" s="30" t="inlineStr">
        <is>
          <t>adulto</t>
        </is>
      </c>
      <c r="K199" s="31" t="n">
        <v>400</v>
      </c>
      <c r="L199" s="30" t="inlineStr">
        <is>
          <t>Colonia di oltre 300 individui in una mansarda (monitorata)</t>
        </is>
      </c>
      <c r="M199" s="30" t="inlineStr">
        <is>
          <t>n/a</t>
        </is>
      </c>
      <c r="N199" s="30" t="n"/>
    </row>
    <row r="200" ht="30" customFormat="1" customHeight="1" s="21">
      <c r="A200" s="28" t="n">
        <v>45877</v>
      </c>
      <c r="B200" s="29" t="n">
        <v>0.5756944444444444</v>
      </c>
      <c r="C200" s="30" t="inlineStr">
        <is>
          <t>Pipistrellus sp.</t>
        </is>
      </c>
      <c r="D200" s="31" t="n"/>
      <c r="E200" s="30" t="inlineStr">
        <is>
          <t>Corso SS. Felice e Fortunato 225</t>
        </is>
      </c>
      <c r="F200" s="30" t="inlineStr">
        <is>
          <t>Vicenza</t>
        </is>
      </c>
      <c r="G200" s="30" t="inlineStr">
        <is>
          <t>VI</t>
        </is>
      </c>
      <c r="H200" s="30" t="n"/>
      <c r="I200" s="30" t="n"/>
      <c r="J200" s="30" t="inlineStr">
        <is>
          <t>subadulto</t>
        </is>
      </c>
      <c r="K200" s="31" t="n">
        <v>1</v>
      </c>
      <c r="L200" s="30" t="inlineStr">
        <is>
          <t>Intrappolato all'interno dell'istituto Guido Piovene</t>
        </is>
      </c>
      <c r="M200" s="30" t="inlineStr">
        <is>
          <t>liberato</t>
        </is>
      </c>
      <c r="N200" s="30" t="n"/>
    </row>
    <row r="201" customFormat="1" s="21">
      <c r="A201" s="28" t="n">
        <v>45880</v>
      </c>
      <c r="B201" s="29" t="n">
        <v>0.8930555555555556</v>
      </c>
      <c r="C201" s="30" t="inlineStr">
        <is>
          <t>Pipistrellus sp.</t>
        </is>
      </c>
      <c r="D201" s="31" t="n"/>
      <c r="E201" s="30" t="inlineStr">
        <is>
          <t>Montemerlo</t>
        </is>
      </c>
      <c r="F201" s="30" t="inlineStr">
        <is>
          <t>Padova</t>
        </is>
      </c>
      <c r="G201" s="30" t="inlineStr">
        <is>
          <t>PD</t>
        </is>
      </c>
      <c r="H201" s="30" t="n"/>
      <c r="I201" s="30" t="n"/>
      <c r="J201" s="30" t="inlineStr">
        <is>
          <t>subadulto</t>
        </is>
      </c>
      <c r="K201" s="31" t="n">
        <v>1</v>
      </c>
      <c r="L201" s="30" t="inlineStr">
        <is>
          <t>Trovato in casa, non riesce a volare</t>
        </is>
      </c>
      <c r="M201" s="30" t="inlineStr">
        <is>
          <t>liberato</t>
        </is>
      </c>
      <c r="N201" s="30" t="n"/>
    </row>
    <row r="202" customFormat="1" s="21">
      <c r="A202" s="28" t="n">
        <v>45885</v>
      </c>
      <c r="B202" s="29" t="n">
        <v>0.6902777777777778</v>
      </c>
      <c r="C202" s="30" t="inlineStr">
        <is>
          <t>Eptesicus serotinus</t>
        </is>
      </c>
      <c r="D202" s="31" t="n"/>
      <c r="E202" s="30" t="inlineStr">
        <is>
          <t>Cartigliano</t>
        </is>
      </c>
      <c r="F202" s="30" t="inlineStr">
        <is>
          <t>Vicenza</t>
        </is>
      </c>
      <c r="G202" s="30" t="inlineStr">
        <is>
          <t>VI</t>
        </is>
      </c>
      <c r="H202" s="30" t="n"/>
      <c r="I202" s="30" t="n"/>
      <c r="J202" s="30" t="inlineStr">
        <is>
          <t>adulto</t>
        </is>
      </c>
      <c r="K202" s="31" t="n">
        <v>1</v>
      </c>
      <c r="L202" s="30" t="inlineStr">
        <is>
          <t>Debilitato, all'interno di un camino da 2 giorni</t>
        </is>
      </c>
      <c r="M202" s="30" t="inlineStr">
        <is>
          <t>liberato</t>
        </is>
      </c>
      <c r="N202" s="28" t="n"/>
    </row>
    <row r="203" customFormat="1" s="21">
      <c r="A203" s="28" t="n">
        <v>45886</v>
      </c>
      <c r="B203" s="29" t="n">
        <v>0.8604166666666667</v>
      </c>
      <c r="C203" s="30" t="inlineStr">
        <is>
          <t>Pipistrellus sp.</t>
        </is>
      </c>
      <c r="D203" s="31" t="n"/>
      <c r="E203" s="30" t="inlineStr">
        <is>
          <t>Via Ludovico Ariosto</t>
        </is>
      </c>
      <c r="F203" s="30" t="inlineStr">
        <is>
          <t>Venezia</t>
        </is>
      </c>
      <c r="G203" s="30" t="inlineStr">
        <is>
          <t>VE</t>
        </is>
      </c>
      <c r="H203" s="30" t="n"/>
      <c r="I203" s="30" t="n"/>
      <c r="J203" s="30" t="inlineStr">
        <is>
          <t>adulto</t>
        </is>
      </c>
      <c r="K203" s="31" t="n">
        <v>1</v>
      </c>
      <c r="L203" s="30" t="inlineStr">
        <is>
          <t>neurologico, gira in tondo, probabile trauma da impatto</t>
        </is>
      </c>
      <c r="M203" s="30" t="inlineStr">
        <is>
          <t>morto</t>
        </is>
      </c>
      <c r="N203" s="30" t="n"/>
    </row>
    <row r="204" customFormat="1" s="21">
      <c r="A204" s="28" t="n">
        <v>45892</v>
      </c>
      <c r="B204" s="29" t="n">
        <v>0.6645833333333333</v>
      </c>
      <c r="C204" s="30" t="inlineStr">
        <is>
          <t>Eptesicus serotinus</t>
        </is>
      </c>
      <c r="D204" s="31" t="n"/>
      <c r="E204" s="30" t="inlineStr">
        <is>
          <t>Marostica</t>
        </is>
      </c>
      <c r="F204" s="30" t="inlineStr">
        <is>
          <t>Vicenza</t>
        </is>
      </c>
      <c r="G204" s="30" t="inlineStr">
        <is>
          <t>VI</t>
        </is>
      </c>
      <c r="H204" s="30" t="n"/>
      <c r="I204" s="30" t="n"/>
      <c r="J204" s="30" t="inlineStr">
        <is>
          <t>subadulto</t>
        </is>
      </c>
      <c r="K204" s="31" t="n">
        <v>1</v>
      </c>
      <c r="L204" s="30" t="inlineStr">
        <is>
          <t>Magro molto debilitato, dentro un buco sotto la struttura di una stufa</t>
        </is>
      </c>
      <c r="M204" s="30" t="inlineStr">
        <is>
          <t>morto</t>
        </is>
      </c>
      <c r="N204" s="28" t="n"/>
    </row>
    <row r="205" ht="30" customFormat="1" customHeight="1" s="21">
      <c r="A205" s="28" t="n">
        <v>45892</v>
      </c>
      <c r="B205" s="29" t="n">
        <v>0.8083333333333333</v>
      </c>
      <c r="C205" s="30" t="inlineStr">
        <is>
          <t>Pipistrellus sp.</t>
        </is>
      </c>
      <c r="D205" s="31" t="n"/>
      <c r="E205" s="30" t="inlineStr">
        <is>
          <t>Via Giorgio Dal Piaz</t>
        </is>
      </c>
      <c r="F205" s="30" t="inlineStr">
        <is>
          <t>Padova</t>
        </is>
      </c>
      <c r="G205" s="30" t="inlineStr">
        <is>
          <t>PD</t>
        </is>
      </c>
      <c r="H205" s="30" t="n"/>
      <c r="I205" s="30" t="n"/>
      <c r="J205" s="30" t="inlineStr">
        <is>
          <t>subadulto</t>
        </is>
      </c>
      <c r="K205" s="31" t="n">
        <v>1</v>
      </c>
      <c r="L205" s="30" t="inlineStr">
        <is>
          <t>Chiuso da un giorno all'interno di una camera da letto con zanzariere fisse alle finestre perciò non in grado di uscire in autonomia</t>
        </is>
      </c>
      <c r="M205" s="30" t="inlineStr">
        <is>
          <t>liberato</t>
        </is>
      </c>
      <c r="N205" s="30" t="n"/>
    </row>
    <row r="206" customFormat="1" s="21">
      <c r="A206" s="28" t="n">
        <v>45893</v>
      </c>
      <c r="B206" s="29" t="n">
        <v>0.8979166666666667</v>
      </c>
      <c r="C206" s="30" t="inlineStr">
        <is>
          <t>Pipistrellus sp.</t>
        </is>
      </c>
      <c r="D206" s="31" t="n"/>
      <c r="E206" s="30" t="inlineStr">
        <is>
          <t xml:space="preserve">Piazza San Lorenzo </t>
        </is>
      </c>
      <c r="F206" s="30" t="inlineStr">
        <is>
          <t>Vicenza</t>
        </is>
      </c>
      <c r="G206" s="30" t="inlineStr">
        <is>
          <t>VI</t>
        </is>
      </c>
      <c r="H206" s="30" t="n"/>
      <c r="I206" s="30" t="n"/>
      <c r="J206" s="30" t="inlineStr">
        <is>
          <t>adulto</t>
        </is>
      </c>
      <c r="K206" s="31" t="n">
        <v>1</v>
      </c>
      <c r="L206" s="30" t="inlineStr">
        <is>
          <t>ferito ad un'ala, predato da gatto</t>
        </is>
      </c>
      <c r="M206" s="30" t="inlineStr">
        <is>
          <t>morto</t>
        </is>
      </c>
      <c r="N206" s="30" t="n"/>
    </row>
    <row r="207" customFormat="1" s="21">
      <c r="A207" s="28" t="n">
        <v>45893</v>
      </c>
      <c r="B207" s="29" t="n">
        <v>0.8986111111111111</v>
      </c>
      <c r="C207" s="30" t="inlineStr">
        <is>
          <t>Eptesicus nilssonii</t>
        </is>
      </c>
      <c r="D207" s="31" t="n"/>
      <c r="E207" s="30" t="inlineStr">
        <is>
          <t>Val di Zoldo Cornigian</t>
        </is>
      </c>
      <c r="F207" s="30" t="inlineStr">
        <is>
          <t>Belluno</t>
        </is>
      </c>
      <c r="G207" s="30" t="inlineStr">
        <is>
          <t>BL</t>
        </is>
      </c>
      <c r="H207" s="30" t="n"/>
      <c r="I207" s="30" t="n"/>
      <c r="J207" s="30" t="inlineStr">
        <is>
          <t>adulto</t>
        </is>
      </c>
      <c r="K207" s="31" t="n">
        <v>1</v>
      </c>
      <c r="L207" s="30" t="inlineStr">
        <is>
          <t>trovato a terra molto debilitato e pieno di zecche</t>
        </is>
      </c>
      <c r="M207" s="30" t="inlineStr">
        <is>
          <t>morto</t>
        </is>
      </c>
      <c r="N207" s="28" t="n"/>
    </row>
    <row r="208" customFormat="1" s="21">
      <c r="A208" s="28" t="n">
        <v>45894</v>
      </c>
      <c r="B208" s="29" t="n">
        <v>0.5881944444444445</v>
      </c>
      <c r="C208" s="30" t="inlineStr">
        <is>
          <t>Pipistrellus sp.</t>
        </is>
      </c>
      <c r="D208" s="31" t="n"/>
      <c r="E208" s="30" t="inlineStr">
        <is>
          <t>via Pagello 93</t>
        </is>
      </c>
      <c r="F208" s="30" t="inlineStr">
        <is>
          <t>Caldogno</t>
        </is>
      </c>
      <c r="G208" s="30" t="inlineStr">
        <is>
          <t>VI</t>
        </is>
      </c>
      <c r="H208" s="30" t="n"/>
      <c r="I208" s="30" t="n"/>
      <c r="J208" s="30" t="inlineStr">
        <is>
          <t>adulto</t>
        </is>
      </c>
      <c r="K208" s="31" t="n">
        <v>1</v>
      </c>
      <c r="L208" s="30" t="inlineStr">
        <is>
          <t xml:space="preserve">Predato da gatto e debilitato </t>
        </is>
      </c>
      <c r="M208" s="30" t="inlineStr">
        <is>
          <t>morto</t>
        </is>
      </c>
      <c r="N208" s="30" t="n"/>
    </row>
    <row r="209" customFormat="1" s="21">
      <c r="A209" s="28" t="n">
        <v>45896</v>
      </c>
      <c r="B209" s="29" t="n">
        <v>0.7597222222222222</v>
      </c>
      <c r="C209" s="30" t="inlineStr">
        <is>
          <t>Pipistrellus sp.</t>
        </is>
      </c>
      <c r="D209" s="31" t="n"/>
      <c r="E209" s="30" t="inlineStr">
        <is>
          <t>Vicenza</t>
        </is>
      </c>
      <c r="F209" s="30" t="inlineStr">
        <is>
          <t>Vicenza</t>
        </is>
      </c>
      <c r="G209" s="30" t="inlineStr">
        <is>
          <t>VI</t>
        </is>
      </c>
      <c r="H209" s="30" t="n"/>
      <c r="I209" s="30" t="n"/>
      <c r="J209" s="30" t="inlineStr">
        <is>
          <t>subadulto</t>
        </is>
      </c>
      <c r="K209" s="31" t="n">
        <v>1</v>
      </c>
      <c r="L209" s="30" t="inlineStr">
        <is>
          <t>Magrissimo con un livello di disidratazione critico</t>
        </is>
      </c>
      <c r="M209" s="30" t="inlineStr">
        <is>
          <t>morto</t>
        </is>
      </c>
      <c r="N209" s="30" t="n"/>
    </row>
    <row r="210" customFormat="1" s="21">
      <c r="A210" s="28" t="n">
        <v>45899</v>
      </c>
      <c r="B210" s="29" t="n">
        <v>0.83125</v>
      </c>
      <c r="C210" s="30" t="inlineStr">
        <is>
          <t>Hypsugo savii</t>
        </is>
      </c>
      <c r="D210" s="31" t="n"/>
      <c r="E210" s="30" t="inlineStr">
        <is>
          <t>vicenza</t>
        </is>
      </c>
      <c r="F210" s="30" t="inlineStr">
        <is>
          <t>vicenza</t>
        </is>
      </c>
      <c r="G210" s="30" t="inlineStr">
        <is>
          <t>VI</t>
        </is>
      </c>
      <c r="H210" s="30" t="n"/>
      <c r="I210" s="30" t="n"/>
      <c r="J210" s="30" t="inlineStr">
        <is>
          <t>subadulto</t>
        </is>
      </c>
      <c r="K210" s="31" t="n">
        <v>1</v>
      </c>
      <c r="L210" s="30" t="inlineStr">
        <is>
          <t>recuperato, monitorato, in salute perciò rilasciato</t>
        </is>
      </c>
      <c r="M210" s="30" t="inlineStr">
        <is>
          <t>liberato</t>
        </is>
      </c>
      <c r="N210" s="30" t="n"/>
    </row>
    <row r="211" customFormat="1" s="21">
      <c r="A211" s="28" t="n">
        <v>45899</v>
      </c>
      <c r="B211" s="29" t="n">
        <v>0.9451388888888889</v>
      </c>
      <c r="C211" s="30" t="inlineStr">
        <is>
          <t>Pipistrellus sp.</t>
        </is>
      </c>
      <c r="D211" s="31" t="n"/>
      <c r="E211" s="30" t="inlineStr">
        <is>
          <t>Maserà</t>
        </is>
      </c>
      <c r="F211" s="30" t="inlineStr">
        <is>
          <t>Padova</t>
        </is>
      </c>
      <c r="G211" s="30" t="inlineStr">
        <is>
          <t>PD</t>
        </is>
      </c>
      <c r="H211" s="30" t="n"/>
      <c r="I211" s="30" t="n"/>
      <c r="J211" s="30" t="inlineStr">
        <is>
          <t>adulto</t>
        </is>
      </c>
      <c r="K211" s="31" t="n">
        <v>1</v>
      </c>
      <c r="L211" s="30" t="inlineStr">
        <is>
          <t>Chiuso all'interno di un'abitazione per una settimana</t>
        </is>
      </c>
      <c r="M211" s="30" t="inlineStr">
        <is>
          <t>liberato</t>
        </is>
      </c>
      <c r="N211" s="30" t="n"/>
    </row>
    <row r="212" ht="30" customFormat="1" customHeight="1" s="21">
      <c r="A212" s="28" t="n">
        <v>45901</v>
      </c>
      <c r="B212" s="29" t="n">
        <v>0.4354166666666667</v>
      </c>
      <c r="C212" s="30" t="inlineStr">
        <is>
          <t>Pipistrellus sp.</t>
        </is>
      </c>
      <c r="D212" s="31" t="n"/>
      <c r="E212" s="30" t="inlineStr">
        <is>
          <t>Viale Sant'Agostino 565</t>
        </is>
      </c>
      <c r="F212" s="30" t="inlineStr">
        <is>
          <t>Vicenza</t>
        </is>
      </c>
      <c r="G212" s="30" t="inlineStr">
        <is>
          <t>VI</t>
        </is>
      </c>
      <c r="H212" s="30" t="n"/>
      <c r="I212" s="30" t="n"/>
      <c r="J212" s="30" t="inlineStr">
        <is>
          <t>adulto</t>
        </is>
      </c>
      <c r="K212" s="31" t="n">
        <v>1</v>
      </c>
      <c r="L212" s="30" t="inlineStr">
        <is>
          <t>Rimasto chiuso all'interno della scuola, gravemente disidratato</t>
        </is>
      </c>
      <c r="M212" s="30" t="inlineStr">
        <is>
          <t>morto</t>
        </is>
      </c>
      <c r="N212" s="30" t="n"/>
    </row>
    <row r="213" customFormat="1" s="21">
      <c r="A213" s="28" t="n">
        <v>45903</v>
      </c>
      <c r="B213" s="29" t="n">
        <v>0.7979166666666667</v>
      </c>
      <c r="C213" s="30" t="inlineStr">
        <is>
          <t>Pipistrellus sp.</t>
        </is>
      </c>
      <c r="D213" s="31" t="n"/>
      <c r="E213" s="30" t="inlineStr">
        <is>
          <t>Via Santa Lucia 4</t>
        </is>
      </c>
      <c r="F213" s="30" t="inlineStr">
        <is>
          <t>Padova</t>
        </is>
      </c>
      <c r="G213" s="30" t="inlineStr">
        <is>
          <t>PD</t>
        </is>
      </c>
      <c r="H213" s="30" t="n"/>
      <c r="I213" s="30" t="n"/>
      <c r="J213" s="30" t="inlineStr">
        <is>
          <t>adulto</t>
        </is>
      </c>
      <c r="K213" s="31" t="n">
        <v>1</v>
      </c>
      <c r="L213" s="30" t="inlineStr">
        <is>
          <t>All'interno di una stanza da 2 giorni. in salute</t>
        </is>
      </c>
      <c r="M213" s="30" t="inlineStr">
        <is>
          <t>liberato</t>
        </is>
      </c>
      <c r="N213" s="30" t="n"/>
    </row>
    <row r="214" customFormat="1" s="21">
      <c r="A214" s="28" t="n">
        <v>45907</v>
      </c>
      <c r="B214" s="29" t="n">
        <v>0.4868055555555555</v>
      </c>
      <c r="C214" s="30" t="inlineStr">
        <is>
          <t>Pipistrellus sp.</t>
        </is>
      </c>
      <c r="D214" s="31" t="n"/>
      <c r="E214" s="30" t="inlineStr">
        <is>
          <t>Contrà San Silvestro 61</t>
        </is>
      </c>
      <c r="F214" s="30" t="inlineStr">
        <is>
          <t>Vicenza</t>
        </is>
      </c>
      <c r="G214" s="30" t="inlineStr">
        <is>
          <t>VI</t>
        </is>
      </c>
      <c r="H214" s="30" t="n"/>
      <c r="I214" s="30" t="n"/>
      <c r="J214" s="30" t="inlineStr">
        <is>
          <t>adulto</t>
        </is>
      </c>
      <c r="K214" s="31" t="n">
        <v>1</v>
      </c>
      <c r="L214" s="30" t="inlineStr">
        <is>
          <t>Carcassa, schiacciato alzando una zanzariera</t>
        </is>
      </c>
      <c r="M214" s="30" t="inlineStr">
        <is>
          <t>liberato</t>
        </is>
      </c>
      <c r="N214" s="30" t="n"/>
    </row>
    <row r="215" customFormat="1" s="21">
      <c r="A215" s="28" t="n">
        <v>45909</v>
      </c>
      <c r="B215" s="29" t="n">
        <v>0.4263888888888889</v>
      </c>
      <c r="C215" s="30" t="inlineStr">
        <is>
          <t>Nyctalus Noctula</t>
        </is>
      </c>
      <c r="D215" s="31" t="inlineStr">
        <is>
          <t>F</t>
        </is>
      </c>
      <c r="E215" s="30" t="inlineStr">
        <is>
          <t>Via Rasega 38</t>
        </is>
      </c>
      <c r="F215" s="30" t="inlineStr">
        <is>
          <t>Camisano Vicentino</t>
        </is>
      </c>
      <c r="G215" s="30" t="inlineStr">
        <is>
          <t>VI</t>
        </is>
      </c>
      <c r="H215" s="30" t="n"/>
      <c r="I215" s="30" t="n"/>
      <c r="J215" s="30" t="inlineStr">
        <is>
          <t>adulto</t>
        </is>
      </c>
      <c r="K215" s="31" t="n">
        <v>1</v>
      </c>
      <c r="L215" s="30" t="inlineStr">
        <is>
          <t>Trovata a terra molto magra</t>
        </is>
      </c>
      <c r="M215" s="30" t="inlineStr">
        <is>
          <t>liberato</t>
        </is>
      </c>
      <c r="N215" s="28" t="n"/>
    </row>
    <row r="216" customFormat="1" s="21">
      <c r="A216" s="28" t="n">
        <v>45909</v>
      </c>
      <c r="B216" s="29" t="n">
        <v>0.4993055555555556</v>
      </c>
      <c r="C216" s="30" t="inlineStr">
        <is>
          <t>Nyctalus Leislerii</t>
        </is>
      </c>
      <c r="D216" s="31" t="inlineStr">
        <is>
          <t>M</t>
        </is>
      </c>
      <c r="E216" s="30" t="inlineStr">
        <is>
          <t>Arcugnano</t>
        </is>
      </c>
      <c r="F216" s="30" t="inlineStr">
        <is>
          <t>Vicenza</t>
        </is>
      </c>
      <c r="G216" s="30" t="inlineStr">
        <is>
          <t>VI</t>
        </is>
      </c>
      <c r="H216" s="30" t="n"/>
      <c r="I216" s="30" t="n"/>
      <c r="J216" s="30" t="inlineStr">
        <is>
          <t>adulto</t>
        </is>
      </c>
      <c r="K216" s="31" t="n">
        <v>1</v>
      </c>
      <c r="L216" s="30" t="inlineStr">
        <is>
          <t>Chiuso dentro un camino, magro e disidratato</t>
        </is>
      </c>
      <c r="M216" s="30" t="inlineStr">
        <is>
          <t>liberato</t>
        </is>
      </c>
      <c r="N216" s="28" t="n"/>
    </row>
    <row r="217" customFormat="1" s="21">
      <c r="A217" s="28" t="n">
        <v>45910</v>
      </c>
      <c r="B217" s="29" t="n">
        <v>0.8222222222222222</v>
      </c>
      <c r="C217" s="30" t="inlineStr">
        <is>
          <t>Pipistrellus sp.</t>
        </is>
      </c>
      <c r="D217" s="31" t="n"/>
      <c r="E217" s="30" t="inlineStr">
        <is>
          <t>Via Jacopo Crescini 9/4</t>
        </is>
      </c>
      <c r="F217" s="30" t="inlineStr">
        <is>
          <t>Padova</t>
        </is>
      </c>
      <c r="G217" s="30" t="inlineStr">
        <is>
          <t>PD</t>
        </is>
      </c>
      <c r="H217" s="30" t="n"/>
      <c r="I217" s="30" t="n"/>
      <c r="J217" s="30" t="inlineStr">
        <is>
          <t>adulto</t>
        </is>
      </c>
      <c r="K217" s="31" t="n">
        <v>1</v>
      </c>
      <c r="L217" s="30" t="inlineStr">
        <is>
          <t>Incastrato tra la zanzariera e la fessura del cassone, ferito ma vivo</t>
        </is>
      </c>
      <c r="M217" s="30" t="inlineStr">
        <is>
          <t>liberato</t>
        </is>
      </c>
      <c r="N217" s="30" t="n"/>
    </row>
    <row r="218" customFormat="1" s="21">
      <c r="A218" s="28" t="n">
        <v>45911</v>
      </c>
      <c r="B218" s="29" t="n">
        <v>0.4159722222222222</v>
      </c>
      <c r="C218" s="30" t="inlineStr">
        <is>
          <t>Pipistrellus sp.</t>
        </is>
      </c>
      <c r="D218" s="31" t="n"/>
      <c r="E218" s="30" t="inlineStr">
        <is>
          <t>Longare</t>
        </is>
      </c>
      <c r="F218" s="30" t="inlineStr">
        <is>
          <t>Vicenza</t>
        </is>
      </c>
      <c r="G218" s="30" t="inlineStr">
        <is>
          <t>VI</t>
        </is>
      </c>
      <c r="H218" s="30" t="n"/>
      <c r="I218" s="30" t="n"/>
      <c r="J218" s="30" t="inlineStr">
        <is>
          <t>adulto</t>
        </is>
      </c>
      <c r="K218" s="31" t="n">
        <v>1</v>
      </c>
      <c r="L218" s="30" t="inlineStr">
        <is>
          <t>Chiuso in mansarda da giorni, non riesce ad uscire in autonomia</t>
        </is>
      </c>
      <c r="M218" s="30" t="inlineStr">
        <is>
          <t>liberato</t>
        </is>
      </c>
      <c r="N218" s="30" t="n"/>
    </row>
    <row r="219" customFormat="1" s="21">
      <c r="A219" s="28" t="n">
        <v>45911</v>
      </c>
      <c r="B219" s="29" t="n">
        <v>0.7638888888888888</v>
      </c>
      <c r="C219" s="30" t="inlineStr">
        <is>
          <t>Pipistrellus sp.</t>
        </is>
      </c>
      <c r="D219" s="31" t="n"/>
      <c r="E219" s="30" t="inlineStr">
        <is>
          <t>Via dei mille 187</t>
        </is>
      </c>
      <c r="F219" s="30" t="inlineStr">
        <is>
          <t>Vicenza</t>
        </is>
      </c>
      <c r="G219" s="30" t="inlineStr">
        <is>
          <t>VI</t>
        </is>
      </c>
      <c r="H219" s="30" t="n"/>
      <c r="I219" s="30" t="n"/>
      <c r="J219" s="30" t="inlineStr">
        <is>
          <t>adulto</t>
        </is>
      </c>
      <c r="K219" s="31" t="n">
        <v>1</v>
      </c>
      <c r="L219" s="30" t="inlineStr">
        <is>
          <t>Trovato a terra debilitato</t>
        </is>
      </c>
      <c r="M219" s="30" t="inlineStr">
        <is>
          <t>liberato</t>
        </is>
      </c>
      <c r="N219" s="30" t="n"/>
    </row>
    <row r="220" ht="30" customFormat="1" customHeight="1" s="21">
      <c r="A220" s="28" t="n">
        <v>45912</v>
      </c>
      <c r="B220" s="29" t="n">
        <v>0.3576388888888889</v>
      </c>
      <c r="C220" s="30" t="inlineStr">
        <is>
          <t>Vespertilio murinus</t>
        </is>
      </c>
      <c r="D220" s="31" t="inlineStr">
        <is>
          <t>F</t>
        </is>
      </c>
      <c r="E220" s="30" t="inlineStr">
        <is>
          <t>Comando Polizia Locale</t>
        </is>
      </c>
      <c r="F220" s="30" t="inlineStr">
        <is>
          <t>Camisano Vicentino</t>
        </is>
      </c>
      <c r="G220" s="30" t="inlineStr">
        <is>
          <t>VI</t>
        </is>
      </c>
      <c r="H220" s="30" t="n"/>
      <c r="I220" s="30" t="n"/>
      <c r="J220" s="30" t="inlineStr">
        <is>
          <t>adulto</t>
        </is>
      </c>
      <c r="K220" s="31" t="n">
        <v>1</v>
      </c>
      <c r="L220" s="30" t="inlineStr">
        <is>
          <t>Ferito e gravemente debilitato, frattura esposta del radio</t>
        </is>
      </c>
      <c r="M220" s="30" t="inlineStr">
        <is>
          <t>morto</t>
        </is>
      </c>
      <c r="N220" s="30" t="n"/>
    </row>
    <row r="221" customFormat="1" s="21">
      <c r="A221" s="28" t="n">
        <v>45924</v>
      </c>
      <c r="B221" s="29" t="n">
        <v>0.4972222222222222</v>
      </c>
      <c r="C221" s="30" t="inlineStr">
        <is>
          <t>Pipistrellus sp.</t>
        </is>
      </c>
      <c r="D221" s="31" t="n"/>
      <c r="E221" s="30" t="inlineStr">
        <is>
          <t>Marostica</t>
        </is>
      </c>
      <c r="F221" s="30" t="inlineStr">
        <is>
          <t>Marostica</t>
        </is>
      </c>
      <c r="G221" s="30" t="inlineStr">
        <is>
          <t>VI</t>
        </is>
      </c>
      <c r="H221" s="30" t="n"/>
      <c r="I221" s="30" t="n"/>
      <c r="J221" s="30" t="inlineStr">
        <is>
          <t>adulto</t>
        </is>
      </c>
      <c r="K221" s="31" t="n">
        <v>1</v>
      </c>
      <c r="L221" s="30" t="inlineStr">
        <is>
          <t>Ferito ad un avambraccio</t>
        </is>
      </c>
      <c r="M221" s="30" t="inlineStr">
        <is>
          <t>morto</t>
        </is>
      </c>
      <c r="N221" s="30" t="n"/>
    </row>
    <row r="222" customFormat="1" s="21">
      <c r="A222" s="28" t="n">
        <v>45931</v>
      </c>
      <c r="B222" s="29" t="n">
        <v>0.6347222222222222</v>
      </c>
      <c r="C222" s="30" t="inlineStr">
        <is>
          <t>Myotis sp.</t>
        </is>
      </c>
      <c r="D222" s="31" t="n"/>
      <c r="E222" s="30" t="inlineStr">
        <is>
          <t>Via del commercio</t>
        </is>
      </c>
      <c r="F222" s="30" t="inlineStr">
        <is>
          <t>Vicenza</t>
        </is>
      </c>
      <c r="G222" s="30" t="inlineStr">
        <is>
          <t>VI</t>
        </is>
      </c>
      <c r="H222" s="30" t="n"/>
      <c r="I222" s="30" t="n"/>
      <c r="J222" s="30" t="inlineStr">
        <is>
          <t>adulto</t>
        </is>
      </c>
      <c r="K222" s="31" t="n">
        <v>1</v>
      </c>
      <c r="L222" s="30" t="inlineStr">
        <is>
          <t>Trovato in difficoltà</t>
        </is>
      </c>
      <c r="M222" s="30" t="inlineStr">
        <is>
          <t>liberato</t>
        </is>
      </c>
      <c r="N222" s="30" t="n"/>
    </row>
    <row r="223" customFormat="1" s="21">
      <c r="A223" s="28" t="n">
        <v>45933</v>
      </c>
      <c r="B223" s="29" t="n">
        <v>0.5090277777777777</v>
      </c>
      <c r="C223" s="30" t="inlineStr">
        <is>
          <t>Plecotus sp.</t>
        </is>
      </c>
      <c r="D223" s="31" t="n"/>
      <c r="E223" s="30" t="inlineStr">
        <is>
          <t>Belluno</t>
        </is>
      </c>
      <c r="F223" s="30" t="inlineStr">
        <is>
          <t>Belluno</t>
        </is>
      </c>
      <c r="G223" s="30" t="inlineStr">
        <is>
          <t>BL</t>
        </is>
      </c>
      <c r="H223" s="30" t="n"/>
      <c r="I223" s="30" t="n"/>
      <c r="J223" s="30" t="inlineStr">
        <is>
          <t>adulto</t>
        </is>
      </c>
      <c r="K223" s="31" t="n">
        <v>1</v>
      </c>
      <c r="L223" s="30" t="inlineStr">
        <is>
          <t>ferito, predato da gatto</t>
        </is>
      </c>
      <c r="M223" s="30" t="inlineStr">
        <is>
          <t>morto</t>
        </is>
      </c>
      <c r="N223" s="28" t="n"/>
    </row>
    <row r="224" customFormat="1" s="21">
      <c r="A224" s="28" t="n">
        <v>45936</v>
      </c>
      <c r="B224" s="29" t="n">
        <v>0.7715277777777778</v>
      </c>
      <c r="C224" s="30" t="inlineStr">
        <is>
          <t>Hypsugo savii</t>
        </is>
      </c>
      <c r="D224" s="31" t="n"/>
      <c r="E224" s="30" t="inlineStr">
        <is>
          <t>Vicenza est</t>
        </is>
      </c>
      <c r="F224" s="30" t="inlineStr">
        <is>
          <t>Vicenza</t>
        </is>
      </c>
      <c r="G224" s="30" t="inlineStr">
        <is>
          <t>VI</t>
        </is>
      </c>
      <c r="H224" s="30" t="n"/>
      <c r="I224" s="30" t="n"/>
      <c r="J224" s="30" t="inlineStr">
        <is>
          <t>adulto</t>
        </is>
      </c>
      <c r="K224" s="31" t="n">
        <v>1</v>
      </c>
      <c r="L224" s="30" t="inlineStr">
        <is>
          <t>Ferito, schiacciato nella finestra</t>
        </is>
      </c>
      <c r="M224" s="30" t="inlineStr">
        <is>
          <t>morto</t>
        </is>
      </c>
      <c r="N224" s="30" t="n"/>
    </row>
    <row r="225" customFormat="1" s="21">
      <c r="A225" s="28" t="n">
        <v>45941</v>
      </c>
      <c r="B225" s="29" t="n">
        <v>0.80625</v>
      </c>
      <c r="C225" s="30" t="inlineStr">
        <is>
          <t>Pipistrellus sp.</t>
        </is>
      </c>
      <c r="D225" s="31" t="n"/>
      <c r="E225" s="30" t="inlineStr">
        <is>
          <t>Sossano</t>
        </is>
      </c>
      <c r="F225" s="30" t="inlineStr">
        <is>
          <t>Sossano</t>
        </is>
      </c>
      <c r="G225" s="30" t="n"/>
      <c r="H225" s="30" t="n"/>
      <c r="I225" s="30" t="n"/>
      <c r="J225" s="30" t="inlineStr">
        <is>
          <t>adulto</t>
        </is>
      </c>
      <c r="K225" s="31" t="n">
        <v>1</v>
      </c>
      <c r="L225" s="30" t="inlineStr">
        <is>
          <t>Ferito, predato da gatto e debilitato</t>
        </is>
      </c>
      <c r="M225" s="30" t="inlineStr">
        <is>
          <t>morto</t>
        </is>
      </c>
      <c r="N225" s="30" t="n"/>
    </row>
    <row r="226" customFormat="1" s="21">
      <c r="A226" s="28" t="n">
        <v>45955</v>
      </c>
      <c r="B226" s="29" t="n">
        <v>0.4027777777777778</v>
      </c>
      <c r="C226" s="30" t="inlineStr">
        <is>
          <t>Hypsugo savii</t>
        </is>
      </c>
      <c r="D226" s="31" t="n"/>
      <c r="E226" s="30" t="inlineStr">
        <is>
          <t>Sossano</t>
        </is>
      </c>
      <c r="F226" s="30" t="inlineStr">
        <is>
          <t>Vicenza</t>
        </is>
      </c>
      <c r="G226" s="30" t="inlineStr">
        <is>
          <t>VI</t>
        </is>
      </c>
      <c r="H226" s="30" t="n"/>
      <c r="I226" s="30" t="n"/>
      <c r="J226" s="30" t="inlineStr">
        <is>
          <t>adulto</t>
        </is>
      </c>
      <c r="K226" s="31" t="n">
        <v>1</v>
      </c>
      <c r="L226" s="30" t="inlineStr">
        <is>
          <t>sul davanzale di una finestra, trombiculidi all'interno del padiglione auricolare</t>
        </is>
      </c>
      <c r="M226" s="30" t="inlineStr">
        <is>
          <t>liberato</t>
        </is>
      </c>
      <c r="N226" s="30" t="n"/>
    </row>
    <row r="227" ht="30" customFormat="1" customHeight="1" s="21">
      <c r="A227" s="28" t="n">
        <v>45955</v>
      </c>
      <c r="B227" s="29" t="n">
        <v>0.8736111111111111</v>
      </c>
      <c r="C227" s="30" t="inlineStr">
        <is>
          <t>Vespertilio Murinus</t>
        </is>
      </c>
      <c r="D227" s="31" t="n"/>
      <c r="E227" s="30" t="inlineStr">
        <is>
          <t>Via Monte delle rose, 62</t>
        </is>
      </c>
      <c r="F227" s="30" t="inlineStr">
        <is>
          <t>Arcugnano</t>
        </is>
      </c>
      <c r="G227" s="30" t="n"/>
      <c r="H227" s="30" t="n"/>
      <c r="I227" s="30" t="n"/>
      <c r="J227" s="30" t="inlineStr">
        <is>
          <t>adulto</t>
        </is>
      </c>
      <c r="K227" s="31" t="n">
        <v>1</v>
      </c>
      <c r="L227" s="30" t="inlineStr">
        <is>
          <t>Pneumoderma e altre piccole ferite in un'ala dovute ad un morso graffio da gatto</t>
        </is>
      </c>
      <c r="M227" s="30" t="inlineStr">
        <is>
          <t>morto</t>
        </is>
      </c>
      <c r="N227" s="28" t="n"/>
    </row>
    <row r="228" customFormat="1" s="21">
      <c r="A228" s="28" t="n">
        <v>45957</v>
      </c>
      <c r="B228" s="29" t="n">
        <v>0.5986111111111111</v>
      </c>
      <c r="C228" s="30" t="inlineStr">
        <is>
          <t>Pipistrellus sp.</t>
        </is>
      </c>
      <c r="D228" s="31" t="n"/>
      <c r="E228" s="30" t="inlineStr">
        <is>
          <t>Vicenza est</t>
        </is>
      </c>
      <c r="F228" s="30" t="inlineStr">
        <is>
          <t>Vicenza</t>
        </is>
      </c>
      <c r="G228" s="30" t="inlineStr">
        <is>
          <t>VI</t>
        </is>
      </c>
      <c r="H228" s="30" t="n"/>
      <c r="I228" s="30" t="n"/>
      <c r="J228" s="30" t="inlineStr">
        <is>
          <t>adulto</t>
        </is>
      </c>
      <c r="K228" s="31" t="n">
        <v>1</v>
      </c>
      <c r="L228" s="30" t="inlineStr">
        <is>
          <t>molto magro e disidratato e ferito</t>
        </is>
      </c>
      <c r="M228" s="30" t="inlineStr">
        <is>
          <t>morto</t>
        </is>
      </c>
      <c r="N228" s="30" t="n"/>
    </row>
    <row r="229" ht="30" customFormat="1" customHeight="1" s="21">
      <c r="A229" s="28" t="n">
        <v>45960</v>
      </c>
      <c r="B229" s="29" t="n">
        <v>0.7111111111111111</v>
      </c>
      <c r="C229" s="30" t="inlineStr">
        <is>
          <t>Pipistrellus kuhlii</t>
        </is>
      </c>
      <c r="D229" s="31" t="n"/>
      <c r="E229" s="30" t="inlineStr">
        <is>
          <t>Comando polizia provinciale</t>
        </is>
      </c>
      <c r="F229" s="30" t="inlineStr">
        <is>
          <t>Vicenza</t>
        </is>
      </c>
      <c r="G229" s="30" t="inlineStr">
        <is>
          <t>VI</t>
        </is>
      </c>
      <c r="H229" s="30" t="n"/>
      <c r="I229" s="30" t="n"/>
      <c r="J229" s="30" t="inlineStr">
        <is>
          <t>adulto</t>
        </is>
      </c>
      <c r="K229" s="31" t="n">
        <v>1</v>
      </c>
      <c r="L229" s="30" t="inlineStr">
        <is>
          <t xml:space="preserve">Debilitato </t>
        </is>
      </c>
      <c r="M229" s="30" t="inlineStr">
        <is>
          <t>liberato</t>
        </is>
      </c>
      <c r="N229" s="28" t="n"/>
    </row>
    <row r="230" customFormat="1" s="21">
      <c r="A230" s="28" t="n">
        <v>45967</v>
      </c>
      <c r="B230" s="29" t="n">
        <v>0.5145833333333333</v>
      </c>
      <c r="C230" s="30" t="inlineStr">
        <is>
          <t>Pipistrellus sp.</t>
        </is>
      </c>
      <c r="D230" s="31" t="n"/>
      <c r="E230" s="30" t="inlineStr">
        <is>
          <t>Via Siracusa</t>
        </is>
      </c>
      <c r="F230" s="30" t="inlineStr">
        <is>
          <t>Padova</t>
        </is>
      </c>
      <c r="G230" s="30" t="inlineStr">
        <is>
          <t>PD</t>
        </is>
      </c>
      <c r="H230" s="30" t="n"/>
      <c r="I230" s="30" t="n"/>
      <c r="J230" s="30" t="inlineStr">
        <is>
          <t>adulto</t>
        </is>
      </c>
      <c r="K230" s="31" t="n">
        <v>1</v>
      </c>
      <c r="L230" s="30" t="inlineStr">
        <is>
          <t>Chiuso in casa da quasi una settimana, non riesce ad uscire</t>
        </is>
      </c>
      <c r="M230" s="30" t="inlineStr">
        <is>
          <t>liberato</t>
        </is>
      </c>
      <c r="N230" s="30" t="n"/>
    </row>
    <row r="231" customFormat="1" s="21">
      <c r="A231" s="28" t="n">
        <v>45975</v>
      </c>
      <c r="B231" s="29" t="n">
        <v>0.70625</v>
      </c>
      <c r="C231" s="30" t="inlineStr">
        <is>
          <t>Pipistrellus sp.</t>
        </is>
      </c>
      <c r="D231" s="31" t="n"/>
      <c r="E231" s="30" t="inlineStr">
        <is>
          <t>Via IV novembre 29</t>
        </is>
      </c>
      <c r="F231" s="30" t="inlineStr">
        <is>
          <t>Eraclea</t>
        </is>
      </c>
      <c r="G231" s="30" t="inlineStr">
        <is>
          <t>VE</t>
        </is>
      </c>
      <c r="H231" s="30" t="n"/>
      <c r="I231" s="30" t="n"/>
      <c r="J231" s="30" t="inlineStr">
        <is>
          <t>adulto</t>
        </is>
      </c>
      <c r="K231" s="31" t="n">
        <v>1</v>
      </c>
      <c r="L231" s="30" t="inlineStr">
        <is>
          <t>Debilitato</t>
        </is>
      </c>
      <c r="M231" s="30" t="inlineStr">
        <is>
          <t>liberato</t>
        </is>
      </c>
      <c r="N231" s="30" t="n"/>
    </row>
    <row r="232" customFormat="1" s="21">
      <c r="A232" s="28" t="n">
        <v>45975</v>
      </c>
      <c r="B232" s="29" t="n">
        <v>0.8680555555555556</v>
      </c>
      <c r="C232" s="30" t="inlineStr">
        <is>
          <t>Pipistrellus sp.</t>
        </is>
      </c>
      <c r="D232" s="31" t="n"/>
      <c r="E232" s="30" t="inlineStr">
        <is>
          <t>Via Giotto</t>
        </is>
      </c>
      <c r="F232" s="30" t="inlineStr">
        <is>
          <t>Padova</t>
        </is>
      </c>
      <c r="G232" s="30" t="inlineStr">
        <is>
          <t>PD</t>
        </is>
      </c>
      <c r="H232" s="30" t="n"/>
      <c r="I232" s="30" t="n"/>
      <c r="J232" s="30" t="inlineStr">
        <is>
          <t>adulto</t>
        </is>
      </c>
      <c r="K232" s="31" t="n">
        <v>1</v>
      </c>
      <c r="L232" s="30" t="inlineStr">
        <is>
          <t>Trovato a terra debilitato</t>
        </is>
      </c>
      <c r="M232" s="30" t="inlineStr">
        <is>
          <t>liberato</t>
        </is>
      </c>
      <c r="N232" s="30" t="n"/>
    </row>
    <row r="233" customFormat="1" s="21">
      <c r="A233" s="28" t="n">
        <v>45979</v>
      </c>
      <c r="B233" s="29" t="n">
        <v>0.375</v>
      </c>
      <c r="C233" s="30" t="inlineStr">
        <is>
          <t>Pipistrellus sp.</t>
        </is>
      </c>
      <c r="D233" s="31" t="n"/>
      <c r="E233" s="30" t="inlineStr">
        <is>
          <t>Eraclea</t>
        </is>
      </c>
      <c r="F233" s="30" t="inlineStr">
        <is>
          <t>Venezia</t>
        </is>
      </c>
      <c r="G233" s="30" t="inlineStr">
        <is>
          <t>VE</t>
        </is>
      </c>
      <c r="H233" s="30" t="n"/>
      <c r="I233" s="30" t="n"/>
      <c r="J233" s="30" t="inlineStr">
        <is>
          <t>adulto</t>
        </is>
      </c>
      <c r="K233" s="31" t="n">
        <v>1</v>
      </c>
      <c r="L233" s="30" t="inlineStr">
        <is>
          <t>Trovato a terra in condizioni critiche</t>
        </is>
      </c>
      <c r="M233" s="30" t="inlineStr">
        <is>
          <t>morto</t>
        </is>
      </c>
      <c r="N233" s="30" t="n"/>
    </row>
    <row r="234" customFormat="1" s="21">
      <c r="A234" s="28" t="n">
        <v>45992</v>
      </c>
      <c r="B234" s="29" t="n">
        <v>0.4375</v>
      </c>
      <c r="C234" s="30" t="inlineStr">
        <is>
          <t>Hypsugo savii</t>
        </is>
      </c>
      <c r="D234" s="31" t="n"/>
      <c r="E234" s="30" t="inlineStr">
        <is>
          <t>via san marco 19</t>
        </is>
      </c>
      <c r="F234" s="30" t="inlineStr">
        <is>
          <t>Padova</t>
        </is>
      </c>
      <c r="G234" s="30" t="inlineStr">
        <is>
          <t>PD</t>
        </is>
      </c>
      <c r="H234" s="30" t="n"/>
      <c r="I234" s="30" t="n"/>
      <c r="J234" s="30" t="inlineStr">
        <is>
          <t>adulto</t>
        </is>
      </c>
      <c r="K234" s="31" t="n">
        <v>2</v>
      </c>
      <c r="L234" s="30" t="inlineStr">
        <is>
          <t>Caduti dalla tenda</t>
        </is>
      </c>
      <c r="M234" s="30" t="inlineStr">
        <is>
          <t>liberato</t>
        </is>
      </c>
      <c r="N234" s="30" t="n"/>
    </row>
    <row r="235" customFormat="1" s="21">
      <c r="A235" s="28" t="n">
        <v>45996</v>
      </c>
      <c r="B235" s="29" t="n">
        <v>0.65625</v>
      </c>
      <c r="C235" s="30" t="inlineStr">
        <is>
          <t>Pipistrellus sp.</t>
        </is>
      </c>
      <c r="D235" s="31" t="n"/>
      <c r="E235" s="30" t="inlineStr">
        <is>
          <t>Via Cesare Battisti 9/a</t>
        </is>
      </c>
      <c r="F235" s="30" t="inlineStr">
        <is>
          <t>Padova</t>
        </is>
      </c>
      <c r="G235" s="30" t="inlineStr">
        <is>
          <t>PD</t>
        </is>
      </c>
      <c r="H235" s="30" t="n"/>
      <c r="I235" s="30" t="n"/>
      <c r="J235" s="30" t="inlineStr">
        <is>
          <t>adulto</t>
        </is>
      </c>
      <c r="K235" s="31" t="n">
        <v>1</v>
      </c>
      <c r="L235" s="30" t="inlineStr">
        <is>
          <t>Ferito ad un'ala, predato</t>
        </is>
      </c>
      <c r="M235" s="30" t="inlineStr">
        <is>
          <t>morto</t>
        </is>
      </c>
      <c r="N235" s="30" t="n"/>
    </row>
    <row r="236" customFormat="1" s="21">
      <c r="A236" s="28" t="n">
        <v>45999</v>
      </c>
      <c r="B236" s="29" t="n">
        <v>0.6805555555555556</v>
      </c>
      <c r="C236" s="30" t="inlineStr">
        <is>
          <t>Pipistrellus sp.</t>
        </is>
      </c>
      <c r="D236" s="31" t="n"/>
      <c r="E236" s="30" t="inlineStr">
        <is>
          <t>Teolo</t>
        </is>
      </c>
      <c r="F236" s="30" t="inlineStr">
        <is>
          <t>Padova</t>
        </is>
      </c>
      <c r="G236" s="30" t="inlineStr">
        <is>
          <t>PD</t>
        </is>
      </c>
      <c r="H236" s="30" t="n"/>
      <c r="I236" s="30" t="n"/>
      <c r="J236" s="30" t="inlineStr">
        <is>
          <t>adulto</t>
        </is>
      </c>
      <c r="K236" s="31" t="n">
        <v>1</v>
      </c>
      <c r="L236" s="30" t="inlineStr">
        <is>
          <t xml:space="preserve">Caduto, monitorato e liberato </t>
        </is>
      </c>
      <c r="M236" s="30" t="inlineStr">
        <is>
          <t>liberato</t>
        </is>
      </c>
      <c r="N236" s="30" t="n"/>
    </row>
    <row r="237" customFormat="1" s="21">
      <c r="A237" s="28" t="n">
        <v>46003</v>
      </c>
      <c r="B237" s="29" t="n">
        <v>0.5166666666666667</v>
      </c>
      <c r="C237" s="30" t="inlineStr">
        <is>
          <t>Pipistrellus sp.</t>
        </is>
      </c>
      <c r="D237" s="31" t="n"/>
      <c r="E237" s="30" t="inlineStr">
        <is>
          <t>Costabissara</t>
        </is>
      </c>
      <c r="F237" s="30" t="inlineStr">
        <is>
          <t>Vicenza</t>
        </is>
      </c>
      <c r="G237" s="30" t="inlineStr">
        <is>
          <t>VI</t>
        </is>
      </c>
      <c r="H237" s="30" t="n"/>
      <c r="I237" s="30" t="n"/>
      <c r="J237" s="30" t="inlineStr">
        <is>
          <t>adulto</t>
        </is>
      </c>
      <c r="K237" s="31" t="n">
        <v>1</v>
      </c>
      <c r="L237" s="30" t="inlineStr">
        <is>
          <t>A terra, trauma da schiacciamento</t>
        </is>
      </c>
      <c r="M237" s="30" t="inlineStr">
        <is>
          <t>morto</t>
        </is>
      </c>
      <c r="N237" s="30" t="n"/>
    </row>
    <row r="238" customFormat="1" s="21">
      <c r="A238" s="28" t="n">
        <v>46009</v>
      </c>
      <c r="B238" s="29" t="n">
        <v>0.9041666666666667</v>
      </c>
      <c r="C238" s="30" t="inlineStr">
        <is>
          <t>Nyctalus noctula</t>
        </is>
      </c>
      <c r="D238" s="31" t="inlineStr">
        <is>
          <t>F</t>
        </is>
      </c>
      <c r="E238" s="30" t="inlineStr">
        <is>
          <t>Via San Marco</t>
        </is>
      </c>
      <c r="F238" s="30" t="inlineStr">
        <is>
          <t>Padova</t>
        </is>
      </c>
      <c r="G238" s="30" t="inlineStr">
        <is>
          <t>PD</t>
        </is>
      </c>
      <c r="H238" s="30" t="n"/>
      <c r="I238" s="30" t="n"/>
      <c r="J238" s="30" t="inlineStr">
        <is>
          <t>adulto</t>
        </is>
      </c>
      <c r="K238" s="31" t="n">
        <v>1</v>
      </c>
      <c r="L238" s="30" t="inlineStr">
        <is>
          <t>Debilitato, nel vano scala di un palazzo storico, presenti un centinaio di trombiculidi</t>
        </is>
      </c>
      <c r="M238" s="30" t="inlineStr">
        <is>
          <t>in degenza</t>
        </is>
      </c>
      <c r="N238" s="30" t="n"/>
    </row>
    <row r="239" customFormat="1" s="21">
      <c r="A239" s="38" t="n">
        <v>46009</v>
      </c>
      <c r="B239" s="39" t="n">
        <v>0.9041666666666667</v>
      </c>
      <c r="C239" s="30" t="inlineStr">
        <is>
          <t>Nyctalus noctula</t>
        </is>
      </c>
      <c r="D239" s="23" t="inlineStr">
        <is>
          <t>M</t>
        </is>
      </c>
      <c r="E239" s="30" t="inlineStr">
        <is>
          <t>Via San Marco</t>
        </is>
      </c>
      <c r="F239" s="30" t="inlineStr">
        <is>
          <t>Padova</t>
        </is>
      </c>
      <c r="G239" s="30" t="inlineStr">
        <is>
          <t>PD</t>
        </is>
      </c>
      <c r="H239" s="30" t="n"/>
      <c r="I239" s="30" t="n"/>
      <c r="J239" s="30" t="inlineStr">
        <is>
          <t>adulto</t>
        </is>
      </c>
      <c r="K239" s="33" t="n">
        <v>1</v>
      </c>
      <c r="L239" s="24" t="inlineStr">
        <is>
          <t>Trovato morto, sito monitorato per colonia nottole</t>
        </is>
      </c>
      <c r="M239" s="30" t="inlineStr">
        <is>
          <t>morto</t>
        </is>
      </c>
      <c r="N239" s="24" t="n"/>
    </row>
    <row r="240" customFormat="1" s="21">
      <c r="A240" s="38" t="n">
        <v>46019</v>
      </c>
      <c r="B240" s="39" t="n">
        <v>0.9375</v>
      </c>
      <c r="C240" s="24" t="inlineStr">
        <is>
          <t>Pipistrellus Kuhlii</t>
        </is>
      </c>
      <c r="D240" s="23" t="n"/>
      <c r="E240" s="30" t="inlineStr">
        <is>
          <t>Schio</t>
        </is>
      </c>
      <c r="F240" s="30" t="inlineStr">
        <is>
          <t>Vicenza</t>
        </is>
      </c>
      <c r="G240" s="30" t="inlineStr">
        <is>
          <t>VI</t>
        </is>
      </c>
      <c r="H240" s="30" t="n"/>
      <c r="I240" s="30" t="n"/>
      <c r="J240" s="30" t="inlineStr">
        <is>
          <t>adulto</t>
        </is>
      </c>
      <c r="K240" s="33" t="n">
        <v>1</v>
      </c>
      <c r="L240" s="30" t="inlineStr">
        <is>
          <t>Debilitato</t>
        </is>
      </c>
      <c r="M240" s="30" t="inlineStr">
        <is>
          <t>in degenza</t>
        </is>
      </c>
      <c r="N240" s="24" t="n"/>
    </row>
    <row r="241" customFormat="1" s="21">
      <c r="A241" s="38" t="n">
        <v>46020</v>
      </c>
      <c r="B241" s="39" t="n">
        <v>0.5944444444444444</v>
      </c>
      <c r="C241" s="30" t="inlineStr">
        <is>
          <t>Pipistrellus sp.</t>
        </is>
      </c>
      <c r="D241" s="23" t="n"/>
      <c r="E241" s="30" t="inlineStr">
        <is>
          <t>Mogliano veneto</t>
        </is>
      </c>
      <c r="F241" s="30" t="inlineStr">
        <is>
          <t>Treviso</t>
        </is>
      </c>
      <c r="G241" s="30" t="inlineStr">
        <is>
          <t>TV</t>
        </is>
      </c>
      <c r="H241" s="30" t="n"/>
      <c r="I241" s="30" t="n"/>
      <c r="J241" s="30" t="inlineStr">
        <is>
          <t>adulto</t>
        </is>
      </c>
      <c r="K241" s="33" t="n">
        <v>1</v>
      </c>
      <c r="L241" s="30" t="inlineStr">
        <is>
          <t>Molto magro, probabile trauma</t>
        </is>
      </c>
      <c r="M241" s="30" t="inlineStr">
        <is>
          <t>morto</t>
        </is>
      </c>
      <c r="N241" s="24" t="n"/>
    </row>
    <row r="242" customFormat="1" s="21">
      <c r="A242" s="35" t="n"/>
      <c r="B242" s="36" t="n"/>
      <c r="D242" s="36" t="n"/>
      <c r="K242" s="37" t="n"/>
    </row>
    <row r="243" customFormat="1" s="21">
      <c r="A243" s="35" t="n"/>
      <c r="B243" s="36" t="n"/>
      <c r="D243" s="36" t="n"/>
      <c r="K243" s="37" t="n"/>
    </row>
    <row r="244" customFormat="1" s="21">
      <c r="A244" s="35" t="n"/>
      <c r="B244" s="36" t="n"/>
      <c r="D244" s="36" t="n"/>
      <c r="K244" s="37" t="n"/>
    </row>
    <row r="245" customFormat="1" s="21">
      <c r="A245" s="35" t="n"/>
      <c r="B245" s="36" t="n"/>
      <c r="D245" s="36" t="n"/>
      <c r="K245" s="37" t="n"/>
    </row>
    <row r="246" customFormat="1" s="21">
      <c r="A246" s="35" t="n"/>
      <c r="B246" s="36" t="n"/>
      <c r="D246" s="36" t="n"/>
      <c r="K246" s="37" t="n"/>
    </row>
    <row r="247" customFormat="1" s="21">
      <c r="A247" s="35" t="n"/>
      <c r="B247" s="36" t="n"/>
      <c r="D247" s="36" t="n"/>
      <c r="K247" s="37" t="n"/>
    </row>
    <row r="248" customFormat="1" s="21">
      <c r="A248" s="35" t="n"/>
      <c r="B248" s="36" t="n"/>
      <c r="D248" s="36" t="n"/>
      <c r="K248" s="37" t="n"/>
    </row>
    <row r="249" customFormat="1" s="21">
      <c r="A249" s="35" t="n"/>
      <c r="B249" s="36" t="n"/>
      <c r="D249" s="36" t="n"/>
      <c r="K249" s="37" t="n"/>
    </row>
    <row r="250" customFormat="1" s="21">
      <c r="A250" s="35" t="n"/>
      <c r="B250" s="36" t="n"/>
      <c r="D250" s="36" t="n"/>
      <c r="K250" s="37" t="n"/>
    </row>
    <row r="251" customFormat="1" s="21">
      <c r="A251" s="35" t="n"/>
      <c r="B251" s="36" t="n"/>
      <c r="D251" s="36" t="n"/>
      <c r="K251" s="37" t="n"/>
    </row>
    <row r="252" customFormat="1" s="21">
      <c r="A252" s="35" t="n"/>
      <c r="B252" s="36" t="n"/>
      <c r="D252" s="36" t="n"/>
      <c r="K252" s="37" t="n"/>
    </row>
    <row r="253" customFormat="1" s="21">
      <c r="A253" s="35" t="n"/>
      <c r="B253" s="36" t="n"/>
      <c r="D253" s="36" t="n"/>
      <c r="K253" s="37" t="n"/>
    </row>
    <row r="254" customFormat="1" s="21">
      <c r="A254" s="35" t="n"/>
      <c r="B254" s="36" t="n"/>
      <c r="D254" s="36" t="n"/>
      <c r="K254" s="37" t="n"/>
    </row>
    <row r="255" customFormat="1" s="21">
      <c r="A255" s="35" t="n"/>
      <c r="B255" s="36" t="n"/>
      <c r="D255" s="36" t="n"/>
      <c r="K255" s="37" t="n"/>
    </row>
    <row r="256" customFormat="1" s="21">
      <c r="A256" s="35" t="n"/>
      <c r="B256" s="36" t="n"/>
      <c r="D256" s="36" t="n"/>
      <c r="K256" s="37" t="n"/>
    </row>
    <row r="257" customFormat="1" s="21">
      <c r="A257" s="35" t="n"/>
      <c r="B257" s="36" t="n"/>
      <c r="D257" s="36" t="n"/>
      <c r="K257" s="37" t="n"/>
    </row>
    <row r="258" customFormat="1" s="21">
      <c r="A258" s="35" t="n"/>
      <c r="B258" s="36" t="n"/>
      <c r="D258" s="36" t="n"/>
      <c r="K258" s="37" t="n"/>
    </row>
    <row r="259" customFormat="1" s="21">
      <c r="A259" s="35" t="n"/>
      <c r="B259" s="36" t="n"/>
      <c r="D259" s="36" t="n"/>
      <c r="K259" s="37" t="n"/>
    </row>
    <row r="260" customFormat="1" s="21">
      <c r="A260" s="35" t="n"/>
      <c r="B260" s="36" t="n"/>
      <c r="D260" s="36" t="n"/>
      <c r="K260" s="37" t="n"/>
    </row>
    <row r="261" customFormat="1" s="21">
      <c r="A261" s="35" t="n"/>
      <c r="B261" s="36" t="n"/>
      <c r="D261" s="36" t="n"/>
      <c r="K261" s="37" t="n"/>
    </row>
    <row r="262" customFormat="1" s="21">
      <c r="A262" s="35" t="n"/>
      <c r="B262" s="36" t="n"/>
      <c r="D262" s="36" t="n"/>
      <c r="K262" s="37" t="n"/>
    </row>
    <row r="263" customFormat="1" s="21">
      <c r="A263" s="35" t="n"/>
      <c r="B263" s="36" t="n"/>
      <c r="D263" s="36" t="n"/>
      <c r="K263" s="37" t="n"/>
    </row>
    <row r="264" customFormat="1" s="21">
      <c r="A264" s="35" t="n"/>
      <c r="B264" s="36" t="n"/>
      <c r="D264" s="36" t="n"/>
      <c r="K264" s="37" t="n"/>
    </row>
    <row r="265" customFormat="1" s="21">
      <c r="A265" s="35" t="n"/>
      <c r="B265" s="36" t="n"/>
      <c r="D265" s="36" t="n"/>
      <c r="K265" s="37" t="n"/>
    </row>
    <row r="266" customFormat="1" s="21">
      <c r="A266" s="35" t="n"/>
      <c r="B266" s="36" t="n"/>
      <c r="D266" s="36" t="n"/>
      <c r="K266" s="37" t="n"/>
    </row>
    <row r="267" customFormat="1" s="21">
      <c r="A267" s="35" t="n"/>
      <c r="B267" s="36" t="n"/>
      <c r="D267" s="36" t="n"/>
      <c r="K267" s="37" t="n"/>
    </row>
    <row r="268" customFormat="1" s="21">
      <c r="A268" s="35" t="n"/>
      <c r="B268" s="36" t="n"/>
      <c r="D268" s="36" t="n"/>
      <c r="K268" s="37" t="n"/>
    </row>
    <row r="269" customFormat="1" s="21">
      <c r="A269" s="35" t="n"/>
      <c r="B269" s="36" t="n"/>
      <c r="D269" s="36" t="n"/>
      <c r="K269" s="37" t="n"/>
    </row>
    <row r="270" customFormat="1" s="21">
      <c r="A270" s="35" t="n"/>
      <c r="B270" s="36" t="n"/>
      <c r="D270" s="36" t="n"/>
      <c r="K270" s="37" t="n"/>
    </row>
    <row r="271" customFormat="1" s="21">
      <c r="A271" s="35" t="n"/>
      <c r="B271" s="36" t="n"/>
      <c r="D271" s="36" t="n"/>
      <c r="K271" s="37" t="n"/>
    </row>
    <row r="272" customFormat="1" s="21">
      <c r="A272" s="35" t="n"/>
      <c r="B272" s="36" t="n"/>
      <c r="D272" s="36" t="n"/>
      <c r="K272" s="37" t="n"/>
    </row>
    <row r="273" customFormat="1" s="21">
      <c r="A273" s="35" t="n"/>
      <c r="B273" s="36" t="n"/>
      <c r="D273" s="36" t="n"/>
      <c r="K273" s="37" t="n"/>
    </row>
    <row r="274" customFormat="1" s="21">
      <c r="A274" s="35" t="n"/>
      <c r="B274" s="36" t="n"/>
      <c r="D274" s="36" t="n"/>
      <c r="K274" s="37" t="n"/>
    </row>
    <row r="275" customFormat="1" s="21">
      <c r="A275" s="35" t="n"/>
      <c r="B275" s="36" t="n"/>
      <c r="D275" s="36" t="n"/>
      <c r="K275" s="37" t="n"/>
    </row>
    <row r="276" customFormat="1" s="21">
      <c r="A276" s="35" t="n"/>
      <c r="B276" s="36" t="n"/>
      <c r="D276" s="36" t="n"/>
      <c r="K276" s="37" t="n"/>
    </row>
    <row r="277" customFormat="1" s="21">
      <c r="A277" s="35" t="n"/>
      <c r="B277" s="36" t="n"/>
      <c r="D277" s="36" t="n"/>
      <c r="K277" s="37" t="n"/>
    </row>
    <row r="278" customFormat="1" s="21">
      <c r="A278" s="35" t="n"/>
      <c r="B278" s="36" t="n"/>
      <c r="D278" s="36" t="n"/>
      <c r="K278" s="37" t="n"/>
    </row>
    <row r="279" customFormat="1" s="21">
      <c r="A279" s="35" t="n"/>
      <c r="B279" s="36" t="n"/>
      <c r="D279" s="36" t="n"/>
      <c r="K279" s="37" t="n"/>
    </row>
    <row r="280" customFormat="1" s="21">
      <c r="A280" s="35" t="n"/>
      <c r="B280" s="36" t="n"/>
      <c r="D280" s="36" t="n"/>
      <c r="K280" s="37" t="n"/>
    </row>
    <row r="281" customFormat="1" s="21">
      <c r="A281" s="35" t="n"/>
      <c r="B281" s="36" t="n"/>
      <c r="D281" s="36" t="n"/>
      <c r="K281" s="37" t="n"/>
    </row>
    <row r="282" customFormat="1" s="21">
      <c r="A282" s="35" t="n"/>
      <c r="B282" s="36" t="n"/>
      <c r="D282" s="36" t="n"/>
      <c r="K282" s="37" t="n"/>
    </row>
    <row r="283" customFormat="1" s="21">
      <c r="A283" s="35" t="n"/>
      <c r="B283" s="36" t="n"/>
      <c r="D283" s="36" t="n"/>
      <c r="K283" s="37" t="n"/>
    </row>
    <row r="284" customFormat="1" s="21">
      <c r="A284" s="35" t="n"/>
      <c r="B284" s="36" t="n"/>
      <c r="D284" s="36" t="n"/>
      <c r="K284" s="37" t="n"/>
    </row>
    <row r="285" customFormat="1" s="21">
      <c r="A285" s="35" t="n"/>
      <c r="B285" s="36" t="n"/>
      <c r="D285" s="36" t="n"/>
      <c r="K285" s="37" t="n"/>
    </row>
    <row r="286" customFormat="1" s="21">
      <c r="A286" s="35" t="n"/>
      <c r="B286" s="36" t="n"/>
      <c r="D286" s="36" t="n"/>
      <c r="K286" s="37" t="n"/>
    </row>
    <row r="287" customFormat="1" s="21">
      <c r="A287" s="35" t="n"/>
      <c r="B287" s="36" t="n"/>
      <c r="D287" s="36" t="n"/>
      <c r="K287" s="37" t="n"/>
    </row>
    <row r="288" customFormat="1" s="21">
      <c r="A288" s="35" t="n"/>
      <c r="B288" s="36" t="n"/>
      <c r="D288" s="36" t="n"/>
      <c r="K288" s="37" t="n"/>
    </row>
    <row r="289" customFormat="1" s="21">
      <c r="A289" s="35" t="n"/>
      <c r="B289" s="36" t="n"/>
      <c r="D289" s="36" t="n"/>
      <c r="K289" s="37" t="n"/>
    </row>
    <row r="290" customFormat="1" s="21">
      <c r="A290" s="35" t="n"/>
      <c r="B290" s="36" t="n"/>
      <c r="D290" s="36" t="n"/>
      <c r="K290" s="37" t="n"/>
    </row>
    <row r="291" customFormat="1" s="21">
      <c r="A291" s="35" t="n"/>
      <c r="B291" s="36" t="n"/>
      <c r="D291" s="36" t="n"/>
      <c r="K291" s="37" t="n"/>
    </row>
    <row r="292" customFormat="1" s="21">
      <c r="A292" s="35" t="n"/>
      <c r="B292" s="36" t="n"/>
      <c r="D292" s="36" t="n"/>
      <c r="K292" s="37" t="n"/>
    </row>
    <row r="293" customFormat="1" s="21">
      <c r="A293" s="35" t="n"/>
      <c r="B293" s="36" t="n"/>
      <c r="D293" s="36" t="n"/>
      <c r="K293" s="37" t="n"/>
    </row>
    <row r="294" customFormat="1" s="21">
      <c r="A294" s="35" t="n"/>
      <c r="B294" s="36" t="n"/>
      <c r="D294" s="36" t="n"/>
      <c r="K294" s="37" t="n"/>
    </row>
    <row r="295" customFormat="1" s="21">
      <c r="A295" s="35" t="n"/>
      <c r="B295" s="36" t="n"/>
      <c r="D295" s="36" t="n"/>
      <c r="K295" s="37" t="n"/>
    </row>
    <row r="296" customFormat="1" s="21">
      <c r="A296" s="35" t="n"/>
      <c r="B296" s="36" t="n"/>
      <c r="D296" s="36" t="n"/>
      <c r="K296" s="37" t="n"/>
    </row>
    <row r="297" customFormat="1" s="21">
      <c r="A297" s="35" t="n"/>
      <c r="B297" s="36" t="n"/>
      <c r="D297" s="36" t="n"/>
      <c r="K297" s="37" t="n"/>
    </row>
    <row r="298" customFormat="1" s="21">
      <c r="A298" s="35" t="n"/>
      <c r="B298" s="36" t="n"/>
      <c r="D298" s="36" t="n"/>
      <c r="K298" s="37" t="n"/>
    </row>
    <row r="299" customFormat="1" s="21">
      <c r="A299" s="35" t="n"/>
      <c r="B299" s="36" t="n"/>
      <c r="D299" s="36" t="n"/>
      <c r="K299" s="37" t="n"/>
    </row>
    <row r="300" customFormat="1" s="21">
      <c r="A300" s="35" t="n"/>
      <c r="B300" s="36" t="n"/>
      <c r="D300" s="36" t="n"/>
      <c r="K300" s="37" t="n"/>
    </row>
    <row r="301" customFormat="1" s="21">
      <c r="A301" s="35" t="n"/>
      <c r="B301" s="36" t="n"/>
      <c r="D301" s="36" t="n"/>
      <c r="K301" s="37" t="n"/>
    </row>
    <row r="302" customFormat="1" s="21">
      <c r="A302" s="35" t="n"/>
      <c r="B302" s="36" t="n"/>
      <c r="D302" s="36" t="n"/>
      <c r="K302" s="37" t="n"/>
    </row>
    <row r="303" customFormat="1" s="21">
      <c r="A303" s="35" t="n"/>
      <c r="B303" s="36" t="n"/>
      <c r="D303" s="36" t="n"/>
      <c r="K303" s="37" t="n"/>
    </row>
    <row r="304" customFormat="1" s="21">
      <c r="A304" s="35" t="n"/>
      <c r="B304" s="36" t="n"/>
      <c r="D304" s="36" t="n"/>
      <c r="K304" s="37" t="n"/>
    </row>
    <row r="305" customFormat="1" s="21">
      <c r="A305" s="35" t="n"/>
      <c r="B305" s="36" t="n"/>
      <c r="D305" s="36" t="n"/>
      <c r="K305" s="37" t="n"/>
    </row>
    <row r="306" customFormat="1" s="21">
      <c r="A306" s="35" t="n"/>
      <c r="B306" s="36" t="n"/>
      <c r="D306" s="36" t="n"/>
      <c r="K306" s="37" t="n"/>
    </row>
    <row r="307" customFormat="1" s="21">
      <c r="A307" s="35" t="n"/>
      <c r="B307" s="36" t="n"/>
      <c r="D307" s="36" t="n"/>
      <c r="K307" s="37" t="n"/>
    </row>
    <row r="308" customFormat="1" s="21">
      <c r="A308" s="35" t="n"/>
      <c r="B308" s="36" t="n"/>
      <c r="D308" s="36" t="n"/>
      <c r="K308" s="37" t="n"/>
    </row>
    <row r="309" customFormat="1" s="21">
      <c r="A309" s="35" t="n"/>
      <c r="B309" s="36" t="n"/>
      <c r="D309" s="36" t="n"/>
      <c r="K309" s="37" t="n"/>
    </row>
    <row r="310" customFormat="1" s="21">
      <c r="A310" s="35" t="n"/>
      <c r="B310" s="36" t="n"/>
      <c r="D310" s="36" t="n"/>
      <c r="K310" s="37" t="n"/>
    </row>
    <row r="311" customFormat="1" s="21">
      <c r="A311" s="35" t="n"/>
      <c r="B311" s="36" t="n"/>
      <c r="D311" s="36" t="n"/>
      <c r="K311" s="37" t="n"/>
    </row>
    <row r="312" customFormat="1" s="21">
      <c r="A312" s="35" t="n"/>
      <c r="B312" s="36" t="n"/>
      <c r="D312" s="36" t="n"/>
      <c r="K312" s="37" t="n"/>
    </row>
    <row r="313" customFormat="1" s="21">
      <c r="A313" s="35" t="n"/>
      <c r="B313" s="36" t="n"/>
      <c r="D313" s="36" t="n"/>
      <c r="K313" s="37" t="n"/>
    </row>
    <row r="314" customFormat="1" s="21">
      <c r="A314" s="35" t="n"/>
      <c r="B314" s="36" t="n"/>
      <c r="D314" s="36" t="n"/>
      <c r="K314" s="37" t="n"/>
    </row>
    <row r="315" customFormat="1" s="21">
      <c r="A315" s="35" t="n"/>
      <c r="B315" s="36" t="n"/>
      <c r="D315" s="36" t="n"/>
      <c r="K315" s="37" t="n"/>
    </row>
    <row r="316" customFormat="1" s="21">
      <c r="A316" s="35" t="n"/>
      <c r="B316" s="36" t="n"/>
      <c r="D316" s="36" t="n"/>
      <c r="K316" s="37" t="n"/>
    </row>
    <row r="317" customFormat="1" s="21">
      <c r="A317" s="35" t="n"/>
      <c r="B317" s="36" t="n"/>
      <c r="D317" s="36" t="n"/>
      <c r="K317" s="37" t="n"/>
    </row>
    <row r="318" customFormat="1" s="21">
      <c r="A318" s="35" t="n"/>
      <c r="B318" s="36" t="n"/>
      <c r="D318" s="36" t="n"/>
      <c r="K318" s="37" t="n"/>
    </row>
    <row r="319" customFormat="1" s="21">
      <c r="A319" s="35" t="n"/>
      <c r="B319" s="36" t="n"/>
      <c r="D319" s="36" t="n"/>
      <c r="K319" s="37" t="n"/>
    </row>
    <row r="320" customFormat="1" s="21">
      <c r="A320" s="35" t="n"/>
      <c r="B320" s="36" t="n"/>
      <c r="D320" s="36" t="n"/>
      <c r="K320" s="37" t="n"/>
    </row>
    <row r="321" customFormat="1" s="21">
      <c r="A321" s="35" t="n"/>
      <c r="B321" s="36" t="n"/>
      <c r="D321" s="36" t="n"/>
      <c r="K321" s="37" t="n"/>
    </row>
    <row r="322" customFormat="1" s="21">
      <c r="A322" s="35" t="n"/>
      <c r="B322" s="36" t="n"/>
      <c r="D322" s="36" t="n"/>
      <c r="K322" s="37" t="n"/>
    </row>
    <row r="323" customFormat="1" s="21">
      <c r="A323" s="35" t="n"/>
      <c r="B323" s="36" t="n"/>
      <c r="D323" s="36" t="n"/>
      <c r="K323" s="37" t="n"/>
    </row>
    <row r="324" customFormat="1" s="21">
      <c r="A324" s="35" t="n"/>
      <c r="B324" s="36" t="n"/>
      <c r="D324" s="36" t="n"/>
      <c r="K324" s="37" t="n"/>
    </row>
    <row r="325" customFormat="1" s="21">
      <c r="A325" s="35" t="n"/>
      <c r="B325" s="36" t="n"/>
      <c r="D325" s="36" t="n"/>
      <c r="K325" s="37" t="n"/>
    </row>
    <row r="326" customFormat="1" s="21">
      <c r="A326" s="35" t="n"/>
      <c r="B326" s="36" t="n"/>
      <c r="D326" s="36" t="n"/>
      <c r="K326" s="37" t="n"/>
    </row>
    <row r="327" customFormat="1" s="21">
      <c r="A327" s="35" t="n"/>
      <c r="B327" s="36" t="n"/>
      <c r="D327" s="36" t="n"/>
      <c r="K327" s="37" t="n"/>
    </row>
    <row r="328" customFormat="1" s="21">
      <c r="A328" s="35" t="n"/>
      <c r="B328" s="36" t="n"/>
      <c r="D328" s="36" t="n"/>
      <c r="K328" s="37" t="n"/>
    </row>
    <row r="329" customFormat="1" s="21">
      <c r="A329" s="35" t="n"/>
      <c r="B329" s="36" t="n"/>
      <c r="D329" s="36" t="n"/>
      <c r="K329" s="37" t="n"/>
    </row>
    <row r="330" customFormat="1" s="21">
      <c r="A330" s="35" t="n"/>
      <c r="B330" s="36" t="n"/>
      <c r="D330" s="36" t="n"/>
      <c r="K330" s="37" t="n"/>
    </row>
    <row r="331" customFormat="1" s="21">
      <c r="A331" s="35" t="n"/>
      <c r="B331" s="36" t="n"/>
      <c r="D331" s="36" t="n"/>
      <c r="K331" s="37" t="n"/>
    </row>
    <row r="332" customFormat="1" s="21">
      <c r="A332" s="35" t="n"/>
      <c r="B332" s="36" t="n"/>
      <c r="D332" s="36" t="n"/>
      <c r="K332" s="37" t="n"/>
    </row>
    <row r="333" customFormat="1" s="21">
      <c r="A333" s="35" t="n"/>
      <c r="B333" s="36" t="n"/>
      <c r="D333" s="36" t="n"/>
      <c r="K333" s="37" t="n"/>
    </row>
    <row r="334" customFormat="1" s="21">
      <c r="A334" s="35" t="n"/>
      <c r="B334" s="36" t="n"/>
      <c r="D334" s="36" t="n"/>
      <c r="K334" s="37" t="n"/>
    </row>
    <row r="335" customFormat="1" s="21">
      <c r="A335" s="35" t="n"/>
      <c r="B335" s="36" t="n"/>
      <c r="D335" s="36" t="n"/>
      <c r="K335" s="37" t="n"/>
    </row>
    <row r="336" customFormat="1" s="21">
      <c r="A336" s="35" t="n"/>
      <c r="B336" s="36" t="n"/>
      <c r="D336" s="36" t="n"/>
      <c r="K336" s="37" t="n"/>
    </row>
    <row r="337" customFormat="1" s="21">
      <c r="A337" s="35" t="n"/>
      <c r="B337" s="36" t="n"/>
      <c r="D337" s="36" t="n"/>
      <c r="K337" s="37" t="n"/>
    </row>
    <row r="338" customFormat="1" s="21">
      <c r="A338" s="35" t="n"/>
      <c r="B338" s="36" t="n"/>
      <c r="D338" s="36" t="n"/>
      <c r="K338" s="37" t="n"/>
    </row>
    <row r="339" customFormat="1" s="21">
      <c r="A339" s="35" t="n"/>
      <c r="B339" s="36" t="n"/>
      <c r="D339" s="36" t="n"/>
      <c r="K339" s="37" t="n"/>
    </row>
    <row r="340" customFormat="1" s="21">
      <c r="A340" s="35" t="n"/>
      <c r="B340" s="36" t="n"/>
      <c r="D340" s="36" t="n"/>
      <c r="K340" s="37" t="n"/>
    </row>
    <row r="341" customFormat="1" s="21">
      <c r="A341" s="35" t="n"/>
      <c r="B341" s="36" t="n"/>
      <c r="D341" s="36" t="n"/>
      <c r="K341" s="37" t="n"/>
    </row>
    <row r="342" customFormat="1" s="21">
      <c r="A342" s="35" t="n"/>
      <c r="B342" s="36" t="n"/>
      <c r="D342" s="36" t="n"/>
      <c r="K342" s="37" t="n"/>
    </row>
    <row r="343" customFormat="1" s="21">
      <c r="A343" s="35" t="n"/>
      <c r="B343" s="36" t="n"/>
      <c r="D343" s="36" t="n"/>
      <c r="K343" s="37" t="n"/>
    </row>
    <row r="344" customFormat="1" s="21">
      <c r="A344" s="35" t="n"/>
      <c r="B344" s="36" t="n"/>
      <c r="D344" s="36" t="n"/>
      <c r="K344" s="37" t="n"/>
    </row>
    <row r="345" customFormat="1" s="21">
      <c r="A345" s="35" t="n"/>
      <c r="B345" s="36" t="n"/>
      <c r="D345" s="36" t="n"/>
      <c r="K345" s="37" t="n"/>
    </row>
    <row r="346" customFormat="1" s="21">
      <c r="A346" s="35" t="n"/>
      <c r="B346" s="36" t="n"/>
      <c r="D346" s="36" t="n"/>
      <c r="K346" s="37" t="n"/>
    </row>
    <row r="347" customFormat="1" s="21">
      <c r="A347" s="35" t="n"/>
      <c r="B347" s="36" t="n"/>
      <c r="D347" s="36" t="n"/>
      <c r="K347" s="37" t="n"/>
    </row>
    <row r="348" customFormat="1" s="21">
      <c r="A348" s="35" t="n"/>
      <c r="B348" s="36" t="n"/>
      <c r="D348" s="36" t="n"/>
      <c r="K348" s="37" t="n"/>
    </row>
    <row r="349" customFormat="1" s="21">
      <c r="A349" s="35" t="n"/>
      <c r="B349" s="36" t="n"/>
      <c r="D349" s="36" t="n"/>
      <c r="K349" s="37" t="n"/>
    </row>
    <row r="350" customFormat="1" s="21">
      <c r="A350" s="35" t="n"/>
      <c r="B350" s="36" t="n"/>
      <c r="D350" s="36" t="n"/>
      <c r="K350" s="37" t="n"/>
    </row>
    <row r="351" customFormat="1" s="21">
      <c r="A351" s="35" t="n"/>
      <c r="B351" s="36" t="n"/>
      <c r="D351" s="36" t="n"/>
      <c r="K351" s="37" t="n"/>
    </row>
    <row r="352" customFormat="1" s="21">
      <c r="A352" s="35" t="n"/>
      <c r="B352" s="36" t="n"/>
      <c r="D352" s="36" t="n"/>
      <c r="K352" s="37" t="n"/>
    </row>
    <row r="353" customFormat="1" s="21">
      <c r="A353" s="35" t="n"/>
      <c r="B353" s="36" t="n"/>
      <c r="D353" s="36" t="n"/>
      <c r="K353" s="37" t="n"/>
    </row>
    <row r="354" customFormat="1" s="21">
      <c r="A354" s="35" t="n"/>
      <c r="B354" s="36" t="n"/>
      <c r="D354" s="36" t="n"/>
      <c r="K354" s="37" t="n"/>
    </row>
    <row r="355" customFormat="1" s="21">
      <c r="A355" s="35" t="n"/>
      <c r="B355" s="36" t="n"/>
      <c r="D355" s="36" t="n"/>
      <c r="K355" s="37" t="n"/>
    </row>
    <row r="356" customFormat="1" s="21">
      <c r="A356" s="35" t="n"/>
      <c r="B356" s="36" t="n"/>
      <c r="D356" s="36" t="n"/>
      <c r="K356" s="37" t="n"/>
    </row>
    <row r="357" customFormat="1" s="21">
      <c r="A357" s="35" t="n"/>
      <c r="B357" s="36" t="n"/>
      <c r="D357" s="36" t="n"/>
      <c r="K357" s="37" t="n"/>
    </row>
    <row r="358" customFormat="1" s="21">
      <c r="A358" s="35" t="n"/>
      <c r="B358" s="36" t="n"/>
      <c r="D358" s="36" t="n"/>
      <c r="K358" s="37" t="n"/>
    </row>
    <row r="359" customFormat="1" s="21">
      <c r="A359" s="35" t="n"/>
      <c r="B359" s="36" t="n"/>
      <c r="D359" s="36" t="n"/>
      <c r="K359" s="37" t="n"/>
    </row>
    <row r="360" customFormat="1" s="21">
      <c r="A360" s="35" t="n"/>
      <c r="B360" s="36" t="n"/>
      <c r="D360" s="36" t="n"/>
      <c r="K360" s="37" t="n"/>
    </row>
    <row r="361" customFormat="1" s="21">
      <c r="A361" s="35" t="n"/>
      <c r="B361" s="36" t="n"/>
      <c r="D361" s="36" t="n"/>
      <c r="K361" s="37" t="n"/>
    </row>
    <row r="362" customFormat="1" s="21">
      <c r="A362" s="35" t="n"/>
      <c r="B362" s="36" t="n"/>
      <c r="D362" s="36" t="n"/>
      <c r="K362" s="37" t="n"/>
    </row>
    <row r="363" customFormat="1" s="21">
      <c r="A363" s="35" t="n"/>
      <c r="B363" s="36" t="n"/>
      <c r="D363" s="36" t="n"/>
      <c r="K363" s="37" t="n"/>
    </row>
    <row r="364" customFormat="1" s="21">
      <c r="A364" s="35" t="n"/>
      <c r="B364" s="36" t="n"/>
      <c r="D364" s="36" t="n"/>
      <c r="K364" s="37" t="n"/>
    </row>
    <row r="365" customFormat="1" s="21">
      <c r="A365" s="25" t="n"/>
      <c r="B365" s="26" t="n"/>
      <c r="C365" s="27" t="n"/>
      <c r="D365" s="26" t="n"/>
      <c r="E365" s="27" t="n"/>
      <c r="F365" s="27" t="n"/>
      <c r="G365" s="27" t="n"/>
      <c r="H365" s="27" t="n"/>
      <c r="I365" s="27" t="n"/>
      <c r="J365" s="27" t="n"/>
      <c r="K365" s="34" t="n"/>
      <c r="L365" s="27" t="n"/>
      <c r="M365" s="27" t="n"/>
      <c r="N365" s="27" t="n"/>
    </row>
    <row r="366" customFormat="1" s="21">
      <c r="A366" s="22" t="n"/>
      <c r="B366" s="23" t="n"/>
      <c r="C366" s="24" t="n"/>
      <c r="D366" s="23" t="n"/>
      <c r="E366" s="24" t="n"/>
      <c r="F366" s="24" t="n"/>
      <c r="G366" s="24" t="n"/>
      <c r="H366" s="24" t="n"/>
      <c r="I366" s="24" t="n"/>
      <c r="J366" s="24" t="n"/>
      <c r="K366" s="33" t="n"/>
      <c r="L366" s="24" t="n"/>
      <c r="M366" s="24" t="n"/>
      <c r="N366" s="24" t="n"/>
    </row>
    <row r="367" customFormat="1" s="21">
      <c r="A367" s="22" t="n"/>
      <c r="B367" s="23" t="n"/>
      <c r="C367" s="24" t="n"/>
      <c r="D367" s="23" t="n"/>
      <c r="E367" s="24" t="n"/>
      <c r="F367" s="24" t="n"/>
      <c r="G367" s="24" t="n"/>
      <c r="H367" s="24" t="n"/>
      <c r="I367" s="24" t="n"/>
      <c r="J367" s="24" t="n"/>
      <c r="K367" s="33" t="n"/>
      <c r="L367" s="24" t="n"/>
      <c r="M367" s="24" t="n"/>
      <c r="N367" s="24" t="n"/>
    </row>
    <row r="368" customFormat="1" s="21">
      <c r="A368" s="22" t="n"/>
      <c r="B368" s="23" t="n"/>
      <c r="C368" s="24" t="n"/>
      <c r="D368" s="23" t="n"/>
      <c r="E368" s="24" t="n"/>
      <c r="F368" s="24" t="n"/>
      <c r="G368" s="24" t="n"/>
      <c r="H368" s="24" t="n"/>
      <c r="I368" s="24" t="n"/>
      <c r="J368" s="24" t="n"/>
      <c r="K368" s="33" t="n"/>
      <c r="L368" s="24" t="n"/>
      <c r="M368" s="24" t="n"/>
      <c r="N368" s="24" t="n"/>
    </row>
    <row r="369" customFormat="1" s="21">
      <c r="A369" s="22" t="n"/>
      <c r="B369" s="23" t="n"/>
      <c r="C369" s="24" t="n"/>
      <c r="D369" s="23" t="n"/>
      <c r="E369" s="24" t="n"/>
      <c r="F369" s="24" t="n"/>
      <c r="G369" s="24" t="n"/>
      <c r="H369" s="24" t="n"/>
      <c r="I369" s="24" t="n"/>
      <c r="J369" s="24" t="n"/>
      <c r="K369" s="33" t="n"/>
      <c r="L369" s="24" t="n"/>
      <c r="M369" s="24" t="n"/>
      <c r="N369" s="24" t="n"/>
    </row>
    <row r="370" customFormat="1" s="21">
      <c r="A370" s="22" t="n"/>
      <c r="B370" s="23" t="n"/>
      <c r="C370" s="24" t="n"/>
      <c r="D370" s="23" t="n"/>
      <c r="E370" s="24" t="n"/>
      <c r="F370" s="24" t="n"/>
      <c r="G370" s="24" t="n"/>
      <c r="H370" s="24" t="n"/>
      <c r="I370" s="24" t="n"/>
      <c r="J370" s="24" t="n"/>
      <c r="K370" s="33" t="n"/>
      <c r="L370" s="24" t="n"/>
      <c r="M370" s="24" t="n"/>
      <c r="N370" s="24" t="n"/>
    </row>
    <row r="371" customFormat="1" s="21">
      <c r="A371" s="22" t="n"/>
      <c r="B371" s="23" t="n"/>
      <c r="C371" s="24" t="n"/>
      <c r="D371" s="23" t="n"/>
      <c r="E371" s="24" t="n"/>
      <c r="F371" s="24" t="n"/>
      <c r="G371" s="24" t="n"/>
      <c r="H371" s="24" t="n"/>
      <c r="I371" s="24" t="n"/>
      <c r="J371" s="24" t="n"/>
      <c r="K371" s="33" t="n"/>
      <c r="L371" s="24" t="n"/>
      <c r="M371" s="24" t="n"/>
      <c r="N371" s="24" t="n"/>
    </row>
    <row r="372" customFormat="1" s="21">
      <c r="A372" s="22" t="n"/>
      <c r="B372" s="23" t="n"/>
      <c r="C372" s="24" t="n"/>
      <c r="D372" s="23" t="n"/>
      <c r="E372" s="24" t="n"/>
      <c r="F372" s="24" t="n"/>
      <c r="G372" s="24" t="n"/>
      <c r="H372" s="24" t="n"/>
      <c r="I372" s="24" t="n"/>
      <c r="J372" s="24" t="n"/>
      <c r="K372" s="33" t="n"/>
      <c r="L372" s="24" t="n"/>
      <c r="M372" s="24" t="n"/>
      <c r="N372" s="24" t="n"/>
    </row>
    <row r="373" customFormat="1" s="21">
      <c r="A373" s="22" t="n"/>
      <c r="B373" s="23" t="n"/>
      <c r="C373" s="24" t="n"/>
      <c r="D373" s="23" t="n"/>
      <c r="E373" s="24" t="n"/>
      <c r="F373" s="24" t="n"/>
      <c r="G373" s="24" t="n"/>
      <c r="H373" s="24" t="n"/>
      <c r="I373" s="24" t="n"/>
      <c r="J373" s="24" t="n"/>
      <c r="K373" s="33" t="n"/>
      <c r="L373" s="24" t="n"/>
      <c r="M373" s="24" t="n"/>
      <c r="N373" s="24" t="n"/>
    </row>
    <row r="374" customFormat="1" s="21">
      <c r="A374" s="22" t="n"/>
      <c r="B374" s="23" t="n"/>
      <c r="C374" s="24" t="n"/>
      <c r="D374" s="23" t="n"/>
      <c r="E374" s="24" t="n"/>
      <c r="F374" s="24" t="n"/>
      <c r="G374" s="24" t="n"/>
      <c r="H374" s="24" t="n"/>
      <c r="I374" s="24" t="n"/>
      <c r="J374" s="24" t="n"/>
      <c r="K374" s="33" t="n"/>
      <c r="L374" s="24" t="n"/>
      <c r="M374" s="24" t="n"/>
      <c r="N374" s="24" t="n"/>
    </row>
    <row r="375" customFormat="1" s="21">
      <c r="A375" s="22" t="n"/>
      <c r="B375" s="23" t="n"/>
      <c r="C375" s="24" t="n"/>
      <c r="D375" s="23" t="n"/>
      <c r="E375" s="24" t="n"/>
      <c r="F375" s="24" t="n"/>
      <c r="G375" s="24" t="n"/>
      <c r="H375" s="24" t="n"/>
      <c r="I375" s="24" t="n"/>
      <c r="J375" s="24" t="n"/>
      <c r="K375" s="33" t="n"/>
      <c r="L375" s="24" t="n"/>
      <c r="M375" s="24" t="n"/>
      <c r="N375" s="24" t="n"/>
    </row>
    <row r="376" customFormat="1" s="21">
      <c r="A376" s="22" t="n"/>
      <c r="B376" s="23" t="n"/>
      <c r="C376" s="24" t="n"/>
      <c r="D376" s="23" t="n"/>
      <c r="E376" s="24" t="n"/>
      <c r="F376" s="24" t="n"/>
      <c r="G376" s="24" t="n"/>
      <c r="H376" s="24" t="n"/>
      <c r="I376" s="24" t="n"/>
      <c r="J376" s="24" t="n"/>
      <c r="K376" s="33" t="n"/>
      <c r="L376" s="24" t="n"/>
      <c r="M376" s="24" t="n"/>
      <c r="N376" s="24" t="n"/>
    </row>
    <row r="377" customFormat="1" s="21">
      <c r="A377" s="22" t="n"/>
      <c r="B377" s="23" t="n"/>
      <c r="C377" s="24" t="n"/>
      <c r="D377" s="23" t="n"/>
      <c r="E377" s="24" t="n"/>
      <c r="F377" s="24" t="n"/>
      <c r="G377" s="24" t="n"/>
      <c r="H377" s="24" t="n"/>
      <c r="I377" s="24" t="n"/>
      <c r="J377" s="24" t="n"/>
      <c r="K377" s="33" t="n"/>
      <c r="L377" s="24" t="n"/>
      <c r="M377" s="24" t="n"/>
      <c r="N377" s="24" t="n"/>
    </row>
    <row r="378" customFormat="1" s="21">
      <c r="A378" s="22" t="n"/>
      <c r="B378" s="23" t="n"/>
      <c r="C378" s="24" t="n"/>
      <c r="D378" s="23" t="n"/>
      <c r="E378" s="24" t="n"/>
      <c r="F378" s="24" t="n"/>
      <c r="G378" s="24" t="n"/>
      <c r="H378" s="24" t="n"/>
      <c r="I378" s="24" t="n"/>
      <c r="J378" s="24" t="n"/>
      <c r="K378" s="33" t="n"/>
      <c r="L378" s="24" t="n"/>
      <c r="M378" s="24" t="n"/>
      <c r="N378" s="24" t="n"/>
    </row>
    <row r="379" customFormat="1" s="21">
      <c r="A379" s="22" t="n"/>
      <c r="B379" s="23" t="n"/>
      <c r="C379" s="24" t="n"/>
      <c r="D379" s="23" t="n"/>
      <c r="E379" s="24" t="n"/>
      <c r="F379" s="24" t="n"/>
      <c r="G379" s="24" t="n"/>
      <c r="H379" s="24" t="n"/>
      <c r="I379" s="24" t="n"/>
      <c r="J379" s="24" t="n"/>
      <c r="K379" s="33" t="n"/>
      <c r="L379" s="24" t="n"/>
      <c r="M379" s="24" t="n"/>
      <c r="N379" s="24" t="n"/>
    </row>
    <row r="380" customFormat="1" s="21">
      <c r="A380" s="22" t="n"/>
      <c r="B380" s="23" t="n"/>
      <c r="C380" s="24" t="n"/>
      <c r="D380" s="23" t="n"/>
      <c r="E380" s="24" t="n"/>
      <c r="F380" s="24" t="n"/>
      <c r="G380" s="24" t="n"/>
      <c r="H380" s="24" t="n"/>
      <c r="I380" s="24" t="n"/>
      <c r="J380" s="24" t="n"/>
      <c r="K380" s="33" t="n"/>
      <c r="L380" s="24" t="n"/>
      <c r="M380" s="24" t="n"/>
      <c r="N380" s="24" t="n"/>
    </row>
    <row r="381" customFormat="1" s="21">
      <c r="A381" s="22" t="n"/>
      <c r="B381" s="23" t="n"/>
      <c r="C381" s="24" t="n"/>
      <c r="D381" s="23" t="n"/>
      <c r="E381" s="24" t="n"/>
      <c r="F381" s="24" t="n"/>
      <c r="G381" s="24" t="n"/>
      <c r="H381" s="24" t="n"/>
      <c r="I381" s="24" t="n"/>
      <c r="J381" s="24" t="n"/>
      <c r="K381" s="33" t="n"/>
      <c r="L381" s="24" t="n"/>
      <c r="M381" s="24" t="n"/>
      <c r="N381" s="24" t="n"/>
    </row>
    <row r="382" customFormat="1" s="21">
      <c r="A382" s="22" t="n"/>
      <c r="B382" s="23" t="n"/>
      <c r="C382" s="24" t="n"/>
      <c r="D382" s="23" t="n"/>
      <c r="E382" s="24" t="n"/>
      <c r="F382" s="24" t="n"/>
      <c r="G382" s="24" t="n"/>
      <c r="H382" s="24" t="n"/>
      <c r="I382" s="24" t="n"/>
      <c r="J382" s="24" t="n"/>
      <c r="K382" s="33" t="n"/>
      <c r="L382" s="24" t="n"/>
      <c r="M382" s="24" t="n"/>
      <c r="N382" s="24" t="n"/>
    </row>
    <row r="383" customFormat="1" s="21">
      <c r="A383" s="22" t="n"/>
      <c r="B383" s="23" t="n"/>
      <c r="C383" s="24" t="n"/>
      <c r="D383" s="23" t="n"/>
      <c r="E383" s="24" t="n"/>
      <c r="F383" s="24" t="n"/>
      <c r="G383" s="24" t="n"/>
      <c r="H383" s="24" t="n"/>
      <c r="I383" s="24" t="n"/>
      <c r="J383" s="24" t="n"/>
      <c r="K383" s="33" t="n"/>
      <c r="L383" s="24" t="n"/>
      <c r="M383" s="24" t="n"/>
      <c r="N383" s="24" t="n"/>
    </row>
    <row r="384" customFormat="1" s="21">
      <c r="A384" s="22" t="n"/>
      <c r="B384" s="23" t="n"/>
      <c r="C384" s="24" t="n"/>
      <c r="D384" s="23" t="n"/>
      <c r="E384" s="24" t="n"/>
      <c r="F384" s="24" t="n"/>
      <c r="G384" s="24" t="n"/>
      <c r="H384" s="24" t="n"/>
      <c r="I384" s="24" t="n"/>
      <c r="J384" s="24" t="n"/>
      <c r="K384" s="33" t="n"/>
      <c r="L384" s="24" t="n"/>
      <c r="M384" s="24" t="n"/>
      <c r="N384" s="24" t="n"/>
    </row>
    <row r="385" customFormat="1" s="21">
      <c r="A385" s="22" t="n"/>
      <c r="B385" s="23" t="n"/>
      <c r="C385" s="24" t="n"/>
      <c r="D385" s="23" t="n"/>
      <c r="E385" s="24" t="n"/>
      <c r="F385" s="24" t="n"/>
      <c r="G385" s="24" t="n"/>
      <c r="H385" s="24" t="n"/>
      <c r="I385" s="24" t="n"/>
      <c r="J385" s="24" t="n"/>
      <c r="K385" s="33" t="n"/>
      <c r="L385" s="24" t="n"/>
      <c r="M385" s="24" t="n"/>
      <c r="N385" s="24" t="n"/>
    </row>
    <row r="386" customFormat="1" s="21">
      <c r="A386" s="22" t="n"/>
      <c r="B386" s="23" t="n"/>
      <c r="C386" s="24" t="n"/>
      <c r="D386" s="23" t="n"/>
      <c r="E386" s="24" t="n"/>
      <c r="F386" s="24" t="n"/>
      <c r="G386" s="24" t="n"/>
      <c r="H386" s="24" t="n"/>
      <c r="I386" s="24" t="n"/>
      <c r="J386" s="24" t="n"/>
      <c r="K386" s="33" t="n"/>
      <c r="L386" s="24" t="n"/>
      <c r="M386" s="24" t="n"/>
      <c r="N386" s="24" t="n"/>
    </row>
    <row r="387" customFormat="1" s="21">
      <c r="A387" s="22" t="n"/>
      <c r="B387" s="23" t="n"/>
      <c r="C387" s="24" t="n"/>
      <c r="D387" s="23" t="n"/>
      <c r="E387" s="24" t="n"/>
      <c r="F387" s="24" t="n"/>
      <c r="G387" s="24" t="n"/>
      <c r="H387" s="24" t="n"/>
      <c r="I387" s="24" t="n"/>
      <c r="J387" s="24" t="n"/>
      <c r="K387" s="33" t="n"/>
      <c r="L387" s="24" t="n"/>
      <c r="M387" s="24" t="n"/>
      <c r="N387" s="24" t="n"/>
    </row>
    <row r="388" customFormat="1" s="21">
      <c r="A388" s="22" t="n"/>
      <c r="B388" s="23" t="n"/>
      <c r="C388" s="24" t="n"/>
      <c r="D388" s="23" t="n"/>
      <c r="E388" s="24" t="n"/>
      <c r="F388" s="24" t="n"/>
      <c r="G388" s="24" t="n"/>
      <c r="H388" s="24" t="n"/>
      <c r="I388" s="24" t="n"/>
      <c r="J388" s="24" t="n"/>
      <c r="K388" s="33" t="n"/>
      <c r="L388" s="24" t="n"/>
      <c r="M388" s="24" t="n"/>
      <c r="N388" s="24" t="n"/>
    </row>
    <row r="389" customFormat="1" s="21">
      <c r="A389" s="22" t="n"/>
      <c r="B389" s="23" t="n"/>
      <c r="C389" s="24" t="n"/>
      <c r="D389" s="23" t="n"/>
      <c r="E389" s="24" t="n"/>
      <c r="F389" s="24" t="n"/>
      <c r="G389" s="24" t="n"/>
      <c r="H389" s="24" t="n"/>
      <c r="I389" s="24" t="n"/>
      <c r="J389" s="24" t="n"/>
      <c r="K389" s="33" t="n"/>
      <c r="L389" s="24" t="n"/>
      <c r="M389" s="24" t="n"/>
      <c r="N389" s="24" t="n"/>
    </row>
  </sheetData>
  <autoFilter ref="A1:N229">
    <sortState ref="A2:N229">
      <sortCondition ref="A1:A229"/>
    </sortState>
  </autoFilter>
  <conditionalFormatting sqref="A2:N7 C8 E8:M8">
    <cfRule type="expression" priority="1" dxfId="0" stopIfTrue="1">
      <formula>(#REF!)=1</formula>
    </cfRule>
  </conditionalFormatting>
  <dataValidations xWindow="849" yWindow="621" count="3">
    <dataValidation sqref="D1:D1048576" showDropDown="0" showInputMessage="0" showErrorMessage="1" allowBlank="0" type="list">
      <formula1>"M,F"</formula1>
    </dataValidation>
    <dataValidation sqref="J1:J1048576" showDropDown="0" showInputMessage="1" showErrorMessage="1" allowBlank="0" promptTitle="Legenda" prompt="Neonato=Lattante_x000a_Cucciolo=Ancora inabile al volo_x000a_Subadulto=Abile al volo_x000a_Adulto=Con più di 1 anno di età" type="list">
      <formula1>"adulto,subadulto,cucciolo,neonato,n/a"</formula1>
    </dataValidation>
    <dataValidation sqref="M1:M1048576" showDropDown="0" showInputMessage="0" showErrorMessage="1" allowBlank="0" type="list">
      <formula1>"in degenza,liberato,recuperato da madre,morto,n/a"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D11" sqref="D11"/>
    </sheetView>
  </sheetViews>
  <sheetFormatPr baseColWidth="8" defaultRowHeight="15"/>
  <cols>
    <col width="29" bestFit="1" customWidth="1" min="1" max="1"/>
    <col width="9.140625" customWidth="1" style="2" min="2" max="2"/>
    <col width="10.28515625" bestFit="1" customWidth="1" style="2" min="3" max="3"/>
    <col width="11.7109375" customWidth="1" style="2" min="4" max="4"/>
    <col width="9.140625" customWidth="1" style="2" min="5" max="5"/>
  </cols>
  <sheetData>
    <row r="1">
      <c r="A1" s="1" t="n"/>
    </row>
    <row r="2" customFormat="1" s="1">
      <c r="A2" s="5" t="inlineStr">
        <is>
          <t>Numero esemplari/anno</t>
        </is>
      </c>
      <c r="B2" s="6" t="n">
        <v>2025</v>
      </c>
      <c r="C2" s="4" t="n"/>
      <c r="D2" s="4" t="n"/>
      <c r="E2" s="4" t="n"/>
    </row>
    <row r="3" customFormat="1" s="1">
      <c r="A3" t="inlineStr">
        <is>
          <t>in degenza</t>
        </is>
      </c>
      <c r="B3" s="2">
        <f>SUMIFS(Dati2025!K2:K1001,Dati2025!M2:M1001,A3)</f>
        <v/>
      </c>
      <c r="C3" s="4" t="n"/>
      <c r="D3" s="4" t="n"/>
      <c r="E3" s="4" t="n"/>
    </row>
    <row r="4">
      <c r="A4" t="inlineStr">
        <is>
          <t>liberato</t>
        </is>
      </c>
      <c r="B4" s="2">
        <f>SUMIFS(Dati2025!K2:K1001,Dati2025!M2:M1001,A4)</f>
        <v/>
      </c>
    </row>
    <row r="5">
      <c r="A5" t="inlineStr">
        <is>
          <t>morto</t>
        </is>
      </c>
      <c r="B5" s="2">
        <f>SUMIFS(Dati2025!K2:K1001,Dati2025!M2:M1001,A5)</f>
        <v/>
      </c>
    </row>
    <row r="6">
      <c r="A6" s="3" t="inlineStr">
        <is>
          <t>Totale</t>
        </is>
      </c>
      <c r="B6" s="4">
        <f>SUM(B3:B5)</f>
        <v/>
      </c>
    </row>
    <row r="7">
      <c r="A7" s="3" t="n"/>
      <c r="B7" s="4" t="n"/>
    </row>
    <row r="8">
      <c r="A8" s="3" t="n"/>
      <c r="B8" s="4" t="n"/>
      <c r="C8" s="4" t="n"/>
      <c r="D8" s="4" t="n"/>
      <c r="E8" s="4" t="n"/>
    </row>
    <row r="10" customFormat="1" s="1"/>
    <row r="25">
      <c r="A25" s="2" t="n"/>
    </row>
    <row r="26">
      <c r="A26" s="2" t="n"/>
    </row>
    <row r="27">
      <c r="A27" s="2" t="n"/>
    </row>
    <row r="28">
      <c r="A28" s="2" t="n"/>
    </row>
    <row r="29">
      <c r="A29" s="2" t="n"/>
    </row>
    <row r="30">
      <c r="A30" s="2" t="n"/>
    </row>
    <row r="31">
      <c r="A31" s="2" t="n"/>
    </row>
    <row r="32">
      <c r="A32" s="2" t="n"/>
    </row>
    <row r="33">
      <c r="A33" s="2" t="n"/>
    </row>
    <row r="34">
      <c r="A34" s="2" t="n"/>
    </row>
    <row r="35">
      <c r="A35" s="2" t="n"/>
    </row>
    <row r="36">
      <c r="A36" s="2" t="n"/>
    </row>
    <row r="37">
      <c r="A37" s="2" t="n"/>
    </row>
    <row r="38">
      <c r="A38" s="2" t="n"/>
    </row>
    <row r="39">
      <c r="A39" s="2" t="n"/>
    </row>
    <row r="40">
      <c r="A40" s="2" t="n"/>
    </row>
    <row r="41">
      <c r="A41" s="2" t="n"/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  <row r="55">
      <c r="A55" s="2" t="n"/>
    </row>
    <row r="56">
      <c r="A56" s="2" t="n"/>
    </row>
    <row r="57">
      <c r="A57" s="2" t="n"/>
    </row>
    <row r="58">
      <c r="A58" s="2" t="n"/>
    </row>
    <row r="59">
      <c r="A59" s="2" t="n"/>
    </row>
    <row r="60">
      <c r="A60" s="2" t="n"/>
    </row>
    <row r="61">
      <c r="A61" s="2" t="n"/>
    </row>
    <row r="62">
      <c r="A62" s="2" t="n"/>
    </row>
    <row r="63">
      <c r="A63" s="2" t="n"/>
    </row>
    <row r="64">
      <c r="A64" s="2" t="n"/>
    </row>
    <row r="65">
      <c r="A65" s="2" t="n"/>
    </row>
    <row r="66">
      <c r="A66" s="2" t="n"/>
    </row>
    <row r="67">
      <c r="A67" s="2" t="n"/>
    </row>
    <row r="68">
      <c r="A68" s="2" t="n"/>
    </row>
    <row r="69">
      <c r="A69" s="2" t="n"/>
    </row>
    <row r="70">
      <c r="A70" s="2" t="n"/>
    </row>
    <row r="71">
      <c r="A71" s="2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Marcello Consolo</dc:creator>
  <dcterms:created xsi:type="dcterms:W3CDTF">2023-12-04T15:30:43Z</dcterms:created>
  <dcterms:modified xsi:type="dcterms:W3CDTF">2026-04-17T08:51:54Z</dcterms:modified>
  <cp:lastModifiedBy>Marcello Consolo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2023-12-14T17:57:14Z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96d1a78f-4737-489c-9f33-0d8a28405787</vt:lpwstr>
  </property>
  <property name="MSIP_Label_defa4170-0d19-0005-0004-bc88714345d2_ActionId" fmtid="{D5CDD505-2E9C-101B-9397-08002B2CF9AE}" pid="7">
    <vt:lpwstr>64e42831-d173-4f6c-9516-1c418d3a60b3</vt:lpwstr>
  </property>
  <property name="MSIP_Label_defa4170-0d19-0005-0004-bc88714345d2_ContentBits" fmtid="{D5CDD505-2E9C-101B-9397-08002B2CF9AE}" pid="8">
    <vt:lpwstr>0</vt:lpwstr>
  </property>
</Properties>
</file>